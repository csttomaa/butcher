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mps" sheetId="1" state="visible" r:id="rId3"/>
    <sheet name="How to edit" sheetId="2" state="visible" r:id="rId4"/>
    <sheet name="Chapters" sheetId="3" state="visible" r:id="rId5"/>
    <sheet name="Decisions" sheetId="4" state="visible" r:id="rId6"/>
  </sheets>
  <definedNames>
    <definedName function="false" hidden="true" localSheetId="0" name="_xlnm._FilterDatabase" vbProcedure="false">Stamps!$A$1:$M$90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<sst xmlns="http://schemas.openxmlformats.org/spreadsheetml/2006/main" count="551" uniqueCount="259">
  <si>
    <t xml:space="preserve">ID</t>
  </si>
  <si>
    <t xml:space="preserve">Chapter</t>
  </si>
  <si>
    <t xml:space="preserve">Stamp name</t>
  </si>
  <si>
    <t xml:space="preserve">What earns it</t>
  </si>
  <si>
    <t xml:space="preserve">Kind</t>
  </si>
  <si>
    <t xml:space="preserve">Tier 1 (Select)</t>
  </si>
  <si>
    <t xml:space="preserve">Tier 2 (Choice)</t>
  </si>
  <si>
    <t xml:space="preserve">Tier 3 (Prime)</t>
  </si>
  <si>
    <t xml:space="preserve">Tier 4 (A5 Wagyu)</t>
  </si>
  <si>
    <t xml:space="preserve">Hidden?</t>
  </si>
  <si>
    <t xml:space="preserve">Backfill from stats</t>
  </si>
  <si>
    <t xml:space="preserve">Keep?</t>
  </si>
  <si>
    <t xml:space="preserve">Your notes</t>
  </si>
  <si>
    <t xml:space="preserve">house_open</t>
  </si>
  <si>
    <t xml:space="preserve">House</t>
  </si>
  <si>
    <t xml:space="preserve">Open for Business</t>
  </si>
  <si>
    <t xml:space="preserve">Your first cutscene</t>
  </si>
  <si>
    <t xml:space="preserve">Single</t>
  </si>
  <si>
    <t xml:space="preserve">No</t>
  </si>
  <si>
    <t xml:space="preserve">Yes</t>
  </si>
  <si>
    <t xml:space="preserve">house_regular</t>
  </si>
  <si>
    <t xml:space="preserve">Regular</t>
  </si>
  <si>
    <t xml:space="preserve">Real cutscenes watched</t>
  </si>
  <si>
    <t xml:space="preserve">Tiered</t>
  </si>
  <si>
    <t xml:space="preserve">house_full_menu</t>
  </si>
  <si>
    <t xml:space="preserve">Full Menu</t>
  </si>
  <si>
    <t xml:space="preserve">At least one kill in every chapter</t>
  </si>
  <si>
    <t xml:space="preserve">house_always_wins</t>
  </si>
  <si>
    <t xml:space="preserve">The House Always Wins</t>
  </si>
  <si>
    <t xml:space="preserve">Busts in a row, all animations together</t>
  </si>
  <si>
    <t xml:space="preserve">house_hot_streak</t>
  </si>
  <si>
    <t xml:space="preserve">Hot Streak</t>
  </si>
  <si>
    <t xml:space="preserve">Two rare drops within 10 minutes</t>
  </si>
  <si>
    <t xml:space="preserve">house_tycoon</t>
  </si>
  <si>
    <t xml:space="preserve">Tycoon</t>
  </si>
  <si>
    <t xml:space="preserve">Coins of drops revealed (lifetime)</t>
  </si>
  <si>
    <t xml:space="preserve">house_places_to_be</t>
  </si>
  <si>
    <t xml:space="preserve">I Have Places to Be</t>
  </si>
  <si>
    <t xml:space="preserve">Cutscenes skipped</t>
  </si>
  <si>
    <t xml:space="preserve">house_night_shift</t>
  </si>
  <si>
    <t xml:space="preserve">Night Shift</t>
  </si>
  <si>
    <t xml:space="preserve">A rare drop between 3 and 5 AM</t>
  </si>
  <si>
    <t xml:space="preserve">house_jackpot_777</t>
  </si>
  <si>
    <t xml:space="preserve">Jackpot 777</t>
  </si>
  <si>
    <t xml:space="preserve">A rare drop on exactly your 777th kill of anything</t>
  </si>
  <si>
    <t xml:space="preserve">scatha_worm_food</t>
  </si>
  <si>
    <t xml:space="preserve">Scatha</t>
  </si>
  <si>
    <t xml:space="preserve">Worm Food</t>
  </si>
  <si>
    <t xml:space="preserve">Scatha kills</t>
  </si>
  <si>
    <t xml:space="preserve">scatha_rare_cut</t>
  </si>
  <si>
    <t xml:space="preserve">Rare Cut</t>
  </si>
  <si>
    <t xml:space="preserve">A rare Scatha pet</t>
  </si>
  <si>
    <t xml:space="preserve">scatha_choice_cut</t>
  </si>
  <si>
    <t xml:space="preserve">Choice Cut</t>
  </si>
  <si>
    <t xml:space="preserve">An epic Scatha pet</t>
  </si>
  <si>
    <t xml:space="preserve">scatha_prime_cut</t>
  </si>
  <si>
    <t xml:space="preserve">Prime Cut</t>
  </si>
  <si>
    <t xml:space="preserve">A legendary Scatha pet</t>
  </si>
  <si>
    <t xml:space="preserve">scatha_full_set</t>
  </si>
  <si>
    <t xml:space="preserve">Full Set</t>
  </si>
  <si>
    <t xml:space="preserve">All three pet rarities</t>
  </si>
  <si>
    <t xml:space="preserve">scatha_beginners_luck</t>
  </si>
  <si>
    <t xml:space="preserve">Beginner's Luck</t>
  </si>
  <si>
    <t xml:space="preserve">A pet within your first N kills</t>
  </si>
  <si>
    <t xml:space="preserve">Partly</t>
  </si>
  <si>
    <t xml:space="preserve">scatha_dry_aged</t>
  </si>
  <si>
    <t xml:space="preserve">Dry Aged</t>
  </si>
  <si>
    <t xml:space="preserve">Kills in a row without a pet</t>
  </si>
  <si>
    <t xml:space="preserve">scatha_dry_aged_45</t>
  </si>
  <si>
    <t xml:space="preserve">Dry Aged 45 Days</t>
  </si>
  <si>
    <t xml:space="preserve">scatha_slippery</t>
  </si>
  <si>
    <t xml:space="preserve">Slippery</t>
  </si>
  <si>
    <t xml:space="preserve">Times the Scatha ducks your last swing</t>
  </si>
  <si>
    <t xml:space="preserve">scatha_back_to_back</t>
  </si>
  <si>
    <t xml:space="preserve">Back to Back</t>
  </si>
  <si>
    <t xml:space="preserve">Two pets within N kills</t>
  </si>
  <si>
    <t xml:space="preserve">scatha_dozen</t>
  </si>
  <si>
    <t xml:space="preserve">A Butcher's Dozen</t>
  </si>
  <si>
    <t xml:space="preserve">Pets in total</t>
  </si>
  <si>
    <t xml:space="preserve">vg_thawed_out</t>
  </si>
  <si>
    <t xml:space="preserve">Vanguard</t>
  </si>
  <si>
    <t xml:space="preserve">Thawed Out</t>
  </si>
  <si>
    <t xml:space="preserve">Vanguard corpses opened</t>
  </si>
  <si>
    <t xml:space="preserve">vg_cold_hands</t>
  </si>
  <si>
    <t xml:space="preserve">Cold Hands</t>
  </si>
  <si>
    <t xml:space="preserve">A legendary drop</t>
  </si>
  <si>
    <t xml:space="preserve">vg_heart_of_glass</t>
  </si>
  <si>
    <t xml:space="preserve">Heart of Glass</t>
  </si>
  <si>
    <t xml:space="preserve">The Shattered Locket</t>
  </si>
  <si>
    <t xml:space="preserve">vg_frostbitten</t>
  </si>
  <si>
    <t xml:space="preserve">Frostbitten</t>
  </si>
  <si>
    <t xml:space="preserve">The Frostbitten Dye</t>
  </si>
  <si>
    <t xml:space="preserve">vg_ice_cold</t>
  </si>
  <si>
    <t xml:space="preserve">Ice Cold</t>
  </si>
  <si>
    <t xml:space="preserve">Corpses in a row with nothing above common</t>
  </si>
  <si>
    <t xml:space="preserve">vg_negative_equity</t>
  </si>
  <si>
    <t xml:space="preserve">Negative Equity</t>
  </si>
  <si>
    <t xml:space="preserve">A corpse worth less than its Skeleton Key</t>
  </si>
  <si>
    <t xml:space="preserve">vg_in_the_black</t>
  </si>
  <si>
    <t xml:space="preserve">In the Black</t>
  </si>
  <si>
    <t xml:space="preserve">A corpse worth at least N coins</t>
  </si>
  <si>
    <t xml:space="preserve">diana_heads</t>
  </si>
  <si>
    <t xml:space="preserve">Diana</t>
  </si>
  <si>
    <t xml:space="preserve">Off With Their Heads</t>
  </si>
  <si>
    <t xml:space="preserve">Diana creature kills</t>
  </si>
  <si>
    <t xml:space="preserve">diana_brain_food</t>
  </si>
  <si>
    <t xml:space="preserve">Food for Thought</t>
  </si>
  <si>
    <t xml:space="preserve">Brain Food</t>
  </si>
  <si>
    <t xml:space="preserve">diana_chimera</t>
  </si>
  <si>
    <t xml:space="preserve">Glint in the Eye</t>
  </si>
  <si>
    <t xml:space="preserve">Chimera I</t>
  </si>
  <si>
    <t xml:space="preserve">diana_stinger</t>
  </si>
  <si>
    <t xml:space="preserve">Sting Operation</t>
  </si>
  <si>
    <t xml:space="preserve">Fateful Stinger</t>
  </si>
  <si>
    <t xml:space="preserve">diana_manticore</t>
  </si>
  <si>
    <t xml:space="preserve">Heart of the Beast</t>
  </si>
  <si>
    <t xml:space="preserve">Manti-core</t>
  </si>
  <si>
    <t xml:space="preserve">diana_crown</t>
  </si>
  <si>
    <t xml:space="preserve">Greed is Good</t>
  </si>
  <si>
    <t xml:space="preserve">Crown of Greed</t>
  </si>
  <si>
    <t xml:space="preserve">diana_wool</t>
  </si>
  <si>
    <t xml:space="preserve">Golden Fleece</t>
  </si>
  <si>
    <t xml:space="preserve">Shimmering Wool</t>
  </si>
  <si>
    <t xml:space="preserve">diana_relic</t>
  </si>
  <si>
    <t xml:space="preserve">Relic Hunter</t>
  </si>
  <si>
    <t xml:space="preserve">Minos Relic</t>
  </si>
  <si>
    <t xml:space="preserve">diana_dye</t>
  </si>
  <si>
    <t xml:space="preserve">The Whole Hunt</t>
  </si>
  <si>
    <t xml:space="preserve">Mythological Dye</t>
  </si>
  <si>
    <t xml:space="preserve">diana_pantheon</t>
  </si>
  <si>
    <t xml:space="preserve">Pantheon</t>
  </si>
  <si>
    <t xml:space="preserve">All eight Diana drops</t>
  </si>
  <si>
    <t xml:space="preserve">diana_shared_custody</t>
  </si>
  <si>
    <t xml:space="preserve">Shared Custody</t>
  </si>
  <si>
    <t xml:space="preserve">A win from loot share</t>
  </si>
  <si>
    <t xml:space="preserve">hellion_fire_watch</t>
  </si>
  <si>
    <t xml:space="preserve">Hellion</t>
  </si>
  <si>
    <t xml:space="preserve">Fire Watch</t>
  </si>
  <si>
    <t xml:space="preserve">Tier IV Demonlords killed</t>
  </si>
  <si>
    <t xml:space="preserve">hellion_double_down</t>
  </si>
  <si>
    <t xml:space="preserve">Double Down</t>
  </si>
  <si>
    <t xml:space="preserve">Duplex I</t>
  </si>
  <si>
    <t xml:space="preserve">hellion_roll_dice</t>
  </si>
  <si>
    <t xml:space="preserve">Roll the Dice</t>
  </si>
  <si>
    <t xml:space="preserve">Archfiend Dice</t>
  </si>
  <si>
    <t xml:space="preserve">hellion_high_roller</t>
  </si>
  <si>
    <t xml:space="preserve">High Roller</t>
  </si>
  <si>
    <t xml:space="preserve">High Class Archfiend Dice</t>
  </si>
  <si>
    <t xml:space="preserve">hellion_playing_fire</t>
  </si>
  <si>
    <t xml:space="preserve">Playing With Fire</t>
  </si>
  <si>
    <t xml:space="preserve">Flame Dye</t>
  </si>
  <si>
    <t xml:space="preserve">hellion_ashes</t>
  </si>
  <si>
    <t xml:space="preserve">Ashes to Ashes</t>
  </si>
  <si>
    <t xml:space="preserve">Bosses in a row that land on grey (busts)</t>
  </si>
  <si>
    <t xml:space="preserve">lava_magma_maker</t>
  </si>
  <si>
    <t xml:space="preserve">Eruption</t>
  </si>
  <si>
    <t xml:space="preserve">Magma Maker</t>
  </si>
  <si>
    <t xml:space="preserve">Rare lava creatures killed</t>
  </si>
  <si>
    <t xml:space="preserve">lava_flash</t>
  </si>
  <si>
    <t xml:space="preserve">In a Flash</t>
  </si>
  <si>
    <t xml:space="preserve">Flash I</t>
  </si>
  <si>
    <t xml:space="preserve">lava_meltdown</t>
  </si>
  <si>
    <t xml:space="preserve">Meltdown</t>
  </si>
  <si>
    <t xml:space="preserve">Radioactive Vial</t>
  </si>
  <si>
    <t xml:space="preserve">lava_end_times</t>
  </si>
  <si>
    <t xml:space="preserve">End Times</t>
  </si>
  <si>
    <t xml:space="preserve">Burnt Texts</t>
  </si>
  <si>
    <t xml:space="preserve">lava_kuudra</t>
  </si>
  <si>
    <t xml:space="preserve">Kuudra Rises</t>
  </si>
  <si>
    <t xml:space="preserve">Carmine Dye</t>
  </si>
  <si>
    <t xml:space="preserve">lava_jaw_dropping</t>
  </si>
  <si>
    <t xml:space="preserve">Jaw Dropping</t>
  </si>
  <si>
    <t xml:space="preserve">Any win from a Lord Jawbus</t>
  </si>
  <si>
    <t xml:space="preserve">lava_thermal_runaway</t>
  </si>
  <si>
    <t xml:space="preserve">Thermal Runaway</t>
  </si>
  <si>
    <t xml:space="preserve">Kills in a row with no win</t>
  </si>
  <si>
    <t xml:space="preserve">fin_shark_week</t>
  </si>
  <si>
    <t xml:space="preserve">Fin</t>
  </si>
  <si>
    <t xml:space="preserve">Shark Week</t>
  </si>
  <si>
    <t xml:space="preserve">Great White Sharks killed</t>
  </si>
  <si>
    <t xml:space="preserve">fin_big_fish</t>
  </si>
  <si>
    <t xml:space="preserve">Big Fish</t>
  </si>
  <si>
    <t xml:space="preserve">Epic Megalodon</t>
  </si>
  <si>
    <t xml:space="preserve">fin_bigger_fish</t>
  </si>
  <si>
    <t xml:space="preserve">Bigger Fish</t>
  </si>
  <si>
    <t xml:space="preserve">Legendary Megalodon</t>
  </si>
  <si>
    <t xml:space="preserve">fin_tooth_fairy</t>
  </si>
  <si>
    <t xml:space="preserve">Tooth Fairy</t>
  </si>
  <si>
    <t xml:space="preserve">Great White Shark Tooth</t>
  </si>
  <si>
    <t xml:space="preserve">fin_off_the_hook</t>
  </si>
  <si>
    <t xml:space="preserve">Off the Hook</t>
  </si>
  <si>
    <t xml:space="preserve">Sharks that dropped neither</t>
  </si>
  <si>
    <t xml:space="preserve">wisp_sorrowful</t>
  </si>
  <si>
    <t xml:space="preserve">Wisp</t>
  </si>
  <si>
    <t xml:space="preserve">Sorrowful</t>
  </si>
  <si>
    <t xml:space="preserve">Sorrow</t>
  </si>
  <si>
    <t xml:space="preserve">wisp_plasma</t>
  </si>
  <si>
    <t xml:space="preserve">Plasma Screen</t>
  </si>
  <si>
    <t xml:space="preserve">Plasma</t>
  </si>
  <si>
    <t xml:space="preserve">wisp_spirit_level</t>
  </si>
  <si>
    <t xml:space="preserve">Spirit Level</t>
  </si>
  <si>
    <t xml:space="preserve">Sorrow and Plasma drops in total</t>
  </si>
  <si>
    <t xml:space="preserve">The Butcher's Ledger - stamp list</t>
  </si>
  <si>
    <t xml:space="preserve">Edit the yellow cells. Everything else is filled in for you or worked out from your edits.</t>
  </si>
  <si>
    <t xml:space="preserve">Stamps sheet - one row per stamp:</t>
  </si>
  <si>
    <t xml:space="preserve">  Keep?          Yes / No. Set No to cut a stamp without deleting its row.</t>
  </si>
  <si>
    <t xml:space="preserve">  Stamp name     Rename freely.</t>
  </si>
  <si>
    <t xml:space="preserve">  What earns it  The rule in plain words.</t>
  </si>
  <si>
    <t xml:space="preserve">  Kind           Single (one stamp) or Tiered (a ladder of grades).</t>
  </si>
  <si>
    <t xml:space="preserve">  Tier columns   The number needed for each grade. A Single stamp with a number uses only the first column.</t>
  </si>
  <si>
    <t xml:space="preserve">  Hidden?        Yes = shows as ??? in the book until earned.</t>
  </si>
  <si>
    <t xml:space="preserve">  Your notes     Anything for me: jokes, changes, questions.</t>
  </si>
  <si>
    <t xml:space="preserve">Do not change the ID column: it is how I match your edits to the code. New stamps get a new ID.</t>
  </si>
  <si>
    <t xml:space="preserve">To add a stamp, fill in a new row at the bottom, for example:</t>
  </si>
  <si>
    <t xml:space="preserve">  ID: scatha_unlucky_13 | Chapter: Scatha | Stamp name: Thirteen | What earns it: A pet on your 13th kill of the day | Kind: Single | Hidden?: Yes | Keep?: Yes</t>
  </si>
  <si>
    <t xml:space="preserve">Backfill (grey, mine to fill): whether your existing stats can award it on the update - Yes, Partly, or No (starts counting from the update).</t>
  </si>
  <si>
    <t xml:space="preserve">Decisions sheet: the open questions for the whole Ledger.</t>
  </si>
  <si>
    <t xml:space="preserve">Chapters sheet: counts per chapter, worked out from the Stamps sheet.</t>
  </si>
  <si>
    <t xml:space="preserve">What it covers</t>
  </si>
  <si>
    <t xml:space="preserve">Colour</t>
  </si>
  <si>
    <t xml:space="preserve">Stamps kept</t>
  </si>
  <si>
    <t xml:space="preserve">Hidden kept</t>
  </si>
  <si>
    <t xml:space="preserve">Tiered kept</t>
  </si>
  <si>
    <t xml:space="preserve">Cut</t>
  </si>
  <si>
    <t xml:space="preserve">Across all animations</t>
  </si>
  <si>
    <t xml:space="preserve">Gold #E8B04A</t>
  </si>
  <si>
    <t xml:space="preserve">The Cleaver</t>
  </si>
  <si>
    <t xml:space="preserve">Purple</t>
  </si>
  <si>
    <t xml:space="preserve">The Thaw</t>
  </si>
  <si>
    <t xml:space="preserve">Ice blue</t>
  </si>
  <si>
    <t xml:space="preserve">The Chopping Block</t>
  </si>
  <si>
    <t xml:space="preserve">Red</t>
  </si>
  <si>
    <t xml:space="preserve">Inferno Demonlord IV</t>
  </si>
  <si>
    <t xml:space="preserve">Orange</t>
  </si>
  <si>
    <t xml:space="preserve">Lava fishing</t>
  </si>
  <si>
    <t xml:space="preserve">Lava orange</t>
  </si>
  <si>
    <t xml:space="preserve">Fishing Festival</t>
  </si>
  <si>
    <t xml:space="preserve">Sea blue</t>
  </si>
  <si>
    <t xml:space="preserve">Dwarven Mines Ghosts</t>
  </si>
  <si>
    <t xml:space="preserve">Pale cyan</t>
  </si>
  <si>
    <t xml:space="preserve">Seraph</t>
  </si>
  <si>
    <t xml:space="preserve">Voidgloom Seraph IV (taped - under maintenance)</t>
  </si>
  <si>
    <t xml:space="preserve">Violet</t>
  </si>
  <si>
    <t xml:space="preserve">Total</t>
  </si>
  <si>
    <t xml:space="preserve">Question</t>
  </si>
  <si>
    <t xml:space="preserve">My suggestion</t>
  </si>
  <si>
    <t xml:space="preserve">Your answer</t>
  </si>
  <si>
    <t xml:space="preserve">Name of the book (the new tab)</t>
  </si>
  <si>
    <t xml:space="preserve">The Butcher's Ledger</t>
  </si>
  <si>
    <t xml:space="preserve">Tier names, lowest to highest</t>
  </si>
  <si>
    <t xml:space="preserve">Select, Choice, Prime, A5 Wagyu (grades of beef)</t>
  </si>
  <si>
    <t xml:space="preserve">Stamp pop-up in game when you earn one</t>
  </si>
  <si>
    <t xml:space="preserve">On by default, can be switched off</t>
  </si>
  <si>
    <t xml:space="preserve">Stamps earned before the update</t>
  </si>
  <si>
    <t xml:space="preserve">Stamped as PRE-LEDGER, no date</t>
  </si>
  <si>
    <t xml:space="preserve">Seraph chapter while under maintenance</t>
  </si>
  <si>
    <t xml:space="preserve">Taped page, no stamps listed</t>
  </si>
  <si>
    <t xml:space="preserve">Shareable stamp image (save a PNG of a stamp)</t>
  </si>
  <si>
    <t xml:space="preserve">Later, not in the first version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</si>
</sst>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A2408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A240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1"/>
        <color rgb="FF80808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A240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10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8"/>
    <col collapsed="false" customWidth="true" hidden="false" outlineLevel="0" max="13" min="13" style="0" width="40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4"/>
      <c r="G2" s="4"/>
      <c r="H2" s="4"/>
      <c r="I2" s="4"/>
      <c r="J2" s="3" t="s">
        <v>18</v>
      </c>
      <c r="K2" s="2" t="s">
        <v>19</v>
      </c>
      <c r="L2" s="3" t="s">
        <v>19</v>
      </c>
      <c r="M2" s="3"/>
    </row>
    <row r="3" customFormat="false" ht="15" hidden="false" customHeight="false" outlineLevel="0" collapsed="false">
      <c r="A3" s="2" t="s">
        <v>20</v>
      </c>
      <c r="B3" s="3" t="s">
        <v>14</v>
      </c>
      <c r="C3" s="3" t="s">
        <v>21</v>
      </c>
      <c r="D3" s="3" t="s">
        <v>22</v>
      </c>
      <c r="E3" s="3" t="s">
        <v>23</v>
      </c>
      <c r="F3" s="4" t="n">
        <v>100</v>
      </c>
      <c r="G3" s="4" t="n">
        <v>1000</v>
      </c>
      <c r="H3" s="4" t="n">
        <v>5000</v>
      </c>
      <c r="I3" s="4" t="n">
        <v>10000</v>
      </c>
      <c r="J3" s="3" t="s">
        <v>18</v>
      </c>
      <c r="K3" s="2" t="s">
        <v>19</v>
      </c>
      <c r="L3" s="3" t="s">
        <v>19</v>
      </c>
      <c r="M3" s="3"/>
    </row>
    <row r="4" customFormat="false" ht="15" hidden="false" customHeight="false" outlineLevel="0" collapsed="false">
      <c r="A4" s="2" t="s">
        <v>24</v>
      </c>
      <c r="B4" s="3" t="s">
        <v>14</v>
      </c>
      <c r="C4" s="3" t="s">
        <v>25</v>
      </c>
      <c r="D4" s="3" t="s">
        <v>26</v>
      </c>
      <c r="E4" s="3" t="s">
        <v>17</v>
      </c>
      <c r="F4" s="4"/>
      <c r="G4" s="4"/>
      <c r="H4" s="4"/>
      <c r="I4" s="4"/>
      <c r="J4" s="3" t="s">
        <v>18</v>
      </c>
      <c r="K4" s="2" t="s">
        <v>19</v>
      </c>
      <c r="L4" s="3" t="s">
        <v>19</v>
      </c>
      <c r="M4" s="3"/>
    </row>
    <row r="5" customFormat="false" ht="15" hidden="false" customHeight="false" outlineLevel="0" collapsed="false">
      <c r="A5" s="2" t="s">
        <v>27</v>
      </c>
      <c r="B5" s="3" t="s">
        <v>14</v>
      </c>
      <c r="C5" s="3" t="s">
        <v>28</v>
      </c>
      <c r="D5" s="3" t="s">
        <v>29</v>
      </c>
      <c r="E5" s="3" t="s">
        <v>17</v>
      </c>
      <c r="F5" s="4" t="n">
        <v>50</v>
      </c>
      <c r="G5" s="4"/>
      <c r="H5" s="4"/>
      <c r="I5" s="4"/>
      <c r="J5" s="3" t="s">
        <v>18</v>
      </c>
      <c r="K5" s="2" t="s">
        <v>18</v>
      </c>
      <c r="L5" s="3" t="s">
        <v>19</v>
      </c>
      <c r="M5" s="3"/>
    </row>
    <row r="6" customFormat="false" ht="15" hidden="false" customHeight="false" outlineLevel="0" collapsed="false">
      <c r="A6" s="2" t="s">
        <v>30</v>
      </c>
      <c r="B6" s="3" t="s">
        <v>14</v>
      </c>
      <c r="C6" s="3" t="s">
        <v>31</v>
      </c>
      <c r="D6" s="3" t="s">
        <v>32</v>
      </c>
      <c r="E6" s="3" t="s">
        <v>17</v>
      </c>
      <c r="F6" s="4"/>
      <c r="G6" s="4"/>
      <c r="H6" s="4"/>
      <c r="I6" s="4"/>
      <c r="J6" s="3" t="s">
        <v>18</v>
      </c>
      <c r="K6" s="2" t="s">
        <v>18</v>
      </c>
      <c r="L6" s="3" t="s">
        <v>19</v>
      </c>
      <c r="M6" s="3"/>
    </row>
    <row r="7" customFormat="false" ht="15" hidden="false" customHeight="false" outlineLevel="0" collapsed="false">
      <c r="A7" s="2" t="s">
        <v>33</v>
      </c>
      <c r="B7" s="3" t="s">
        <v>14</v>
      </c>
      <c r="C7" s="3" t="s">
        <v>34</v>
      </c>
      <c r="D7" s="3" t="s">
        <v>35</v>
      </c>
      <c r="E7" s="3" t="s">
        <v>23</v>
      </c>
      <c r="F7" s="4" t="n">
        <v>10000000</v>
      </c>
      <c r="G7" s="4" t="n">
        <v>100000000</v>
      </c>
      <c r="H7" s="4" t="n">
        <v>1000000000</v>
      </c>
      <c r="I7" s="4" t="n">
        <v>10000000000</v>
      </c>
      <c r="J7" s="3" t="s">
        <v>18</v>
      </c>
      <c r="K7" s="2" t="s">
        <v>18</v>
      </c>
      <c r="L7" s="3" t="s">
        <v>19</v>
      </c>
      <c r="M7" s="3"/>
    </row>
    <row r="8" customFormat="false" ht="15" hidden="false" customHeight="false" outlineLevel="0" collapsed="false">
      <c r="A8" s="2" t="s">
        <v>36</v>
      </c>
      <c r="B8" s="3" t="s">
        <v>14</v>
      </c>
      <c r="C8" s="3" t="s">
        <v>37</v>
      </c>
      <c r="D8" s="3" t="s">
        <v>38</v>
      </c>
      <c r="E8" s="3" t="s">
        <v>17</v>
      </c>
      <c r="F8" s="4" t="n">
        <v>100</v>
      </c>
      <c r="G8" s="4"/>
      <c r="H8" s="4"/>
      <c r="I8" s="4"/>
      <c r="J8" s="3" t="s">
        <v>18</v>
      </c>
      <c r="K8" s="2" t="s">
        <v>18</v>
      </c>
      <c r="L8" s="3" t="s">
        <v>19</v>
      </c>
      <c r="M8" s="3"/>
    </row>
    <row r="9" customFormat="false" ht="15" hidden="false" customHeight="false" outlineLevel="0" collapsed="false">
      <c r="A9" s="2" t="s">
        <v>39</v>
      </c>
      <c r="B9" s="3" t="s">
        <v>14</v>
      </c>
      <c r="C9" s="3" t="s">
        <v>40</v>
      </c>
      <c r="D9" s="3" t="s">
        <v>41</v>
      </c>
      <c r="E9" s="3" t="s">
        <v>17</v>
      </c>
      <c r="F9" s="4"/>
      <c r="G9" s="4"/>
      <c r="H9" s="4"/>
      <c r="I9" s="4"/>
      <c r="J9" s="3" t="s">
        <v>19</v>
      </c>
      <c r="K9" s="2" t="s">
        <v>18</v>
      </c>
      <c r="L9" s="3" t="s">
        <v>19</v>
      </c>
      <c r="M9" s="3"/>
    </row>
    <row r="10" customFormat="false" ht="15" hidden="false" customHeight="false" outlineLevel="0" collapsed="false">
      <c r="A10" s="2" t="s">
        <v>42</v>
      </c>
      <c r="B10" s="3" t="s">
        <v>14</v>
      </c>
      <c r="C10" s="3" t="s">
        <v>43</v>
      </c>
      <c r="D10" s="3" t="s">
        <v>44</v>
      </c>
      <c r="E10" s="3" t="s">
        <v>17</v>
      </c>
      <c r="F10" s="4"/>
      <c r="G10" s="4"/>
      <c r="H10" s="4"/>
      <c r="I10" s="4"/>
      <c r="J10" s="3" t="s">
        <v>19</v>
      </c>
      <c r="K10" s="2" t="s">
        <v>18</v>
      </c>
      <c r="L10" s="3" t="s">
        <v>19</v>
      </c>
      <c r="M10" s="3"/>
    </row>
    <row r="11" customFormat="false" ht="15" hidden="false" customHeight="false" outlineLevel="0" collapsed="false">
      <c r="A11" s="2" t="s">
        <v>45</v>
      </c>
      <c r="B11" s="3" t="s">
        <v>46</v>
      </c>
      <c r="C11" s="3" t="s">
        <v>47</v>
      </c>
      <c r="D11" s="3" t="s">
        <v>48</v>
      </c>
      <c r="E11" s="3" t="s">
        <v>23</v>
      </c>
      <c r="F11" s="4" t="n">
        <v>100</v>
      </c>
      <c r="G11" s="4" t="n">
        <v>1000</v>
      </c>
      <c r="H11" s="4" t="n">
        <v>5000</v>
      </c>
      <c r="I11" s="4" t="n">
        <v>10000</v>
      </c>
      <c r="J11" s="3" t="s">
        <v>18</v>
      </c>
      <c r="K11" s="2" t="s">
        <v>19</v>
      </c>
      <c r="L11" s="3" t="s">
        <v>19</v>
      </c>
      <c r="M11" s="3"/>
    </row>
    <row r="12" customFormat="false" ht="15" hidden="false" customHeight="false" outlineLevel="0" collapsed="false">
      <c r="A12" s="2" t="s">
        <v>49</v>
      </c>
      <c r="B12" s="3" t="s">
        <v>46</v>
      </c>
      <c r="C12" s="3" t="s">
        <v>50</v>
      </c>
      <c r="D12" s="3" t="s">
        <v>51</v>
      </c>
      <c r="E12" s="3" t="s">
        <v>17</v>
      </c>
      <c r="F12" s="4"/>
      <c r="G12" s="4"/>
      <c r="H12" s="4"/>
      <c r="I12" s="4"/>
      <c r="J12" s="3" t="s">
        <v>18</v>
      </c>
      <c r="K12" s="2" t="s">
        <v>19</v>
      </c>
      <c r="L12" s="3" t="s">
        <v>19</v>
      </c>
      <c r="M12" s="3"/>
    </row>
    <row r="13" customFormat="false" ht="15" hidden="false" customHeight="false" outlineLevel="0" collapsed="false">
      <c r="A13" s="2" t="s">
        <v>52</v>
      </c>
      <c r="B13" s="3" t="s">
        <v>46</v>
      </c>
      <c r="C13" s="3" t="s">
        <v>53</v>
      </c>
      <c r="D13" s="3" t="s">
        <v>54</v>
      </c>
      <c r="E13" s="3" t="s">
        <v>17</v>
      </c>
      <c r="F13" s="4"/>
      <c r="G13" s="4"/>
      <c r="H13" s="4"/>
      <c r="I13" s="4"/>
      <c r="J13" s="3" t="s">
        <v>18</v>
      </c>
      <c r="K13" s="2" t="s">
        <v>19</v>
      </c>
      <c r="L13" s="3" t="s">
        <v>19</v>
      </c>
      <c r="M13" s="3"/>
    </row>
    <row r="14" customFormat="false" ht="15" hidden="false" customHeight="false" outlineLevel="0" collapsed="false">
      <c r="A14" s="2" t="s">
        <v>55</v>
      </c>
      <c r="B14" s="3" t="s">
        <v>46</v>
      </c>
      <c r="C14" s="3" t="s">
        <v>56</v>
      </c>
      <c r="D14" s="3" t="s">
        <v>57</v>
      </c>
      <c r="E14" s="3" t="s">
        <v>17</v>
      </c>
      <c r="F14" s="4"/>
      <c r="G14" s="4"/>
      <c r="H14" s="4"/>
      <c r="I14" s="4"/>
      <c r="J14" s="3" t="s">
        <v>18</v>
      </c>
      <c r="K14" s="2" t="s">
        <v>19</v>
      </c>
      <c r="L14" s="3" t="s">
        <v>19</v>
      </c>
      <c r="M14" s="3"/>
    </row>
    <row r="15" customFormat="false" ht="15" hidden="false" customHeight="false" outlineLevel="0" collapsed="false">
      <c r="A15" s="2" t="s">
        <v>58</v>
      </c>
      <c r="B15" s="3" t="s">
        <v>46</v>
      </c>
      <c r="C15" s="3" t="s">
        <v>59</v>
      </c>
      <c r="D15" s="3" t="s">
        <v>60</v>
      </c>
      <c r="E15" s="3" t="s">
        <v>17</v>
      </c>
      <c r="F15" s="4"/>
      <c r="G15" s="4"/>
      <c r="H15" s="4"/>
      <c r="I15" s="4"/>
      <c r="J15" s="3" t="s">
        <v>18</v>
      </c>
      <c r="K15" s="2" t="s">
        <v>19</v>
      </c>
      <c r="L15" s="3" t="s">
        <v>19</v>
      </c>
      <c r="M15" s="3"/>
    </row>
    <row r="16" customFormat="false" ht="15" hidden="false" customHeight="false" outlineLevel="0" collapsed="false">
      <c r="A16" s="2" t="s">
        <v>61</v>
      </c>
      <c r="B16" s="3" t="s">
        <v>46</v>
      </c>
      <c r="C16" s="3" t="s">
        <v>62</v>
      </c>
      <c r="D16" s="3" t="s">
        <v>63</v>
      </c>
      <c r="E16" s="3" t="s">
        <v>17</v>
      </c>
      <c r="F16" s="4" t="n">
        <v>100</v>
      </c>
      <c r="G16" s="4"/>
      <c r="H16" s="4"/>
      <c r="I16" s="4"/>
      <c r="J16" s="3" t="s">
        <v>18</v>
      </c>
      <c r="K16" s="2" t="s">
        <v>64</v>
      </c>
      <c r="L16" s="3" t="s">
        <v>19</v>
      </c>
      <c r="M16" s="3"/>
    </row>
    <row r="17" customFormat="false" ht="15" hidden="false" customHeight="false" outlineLevel="0" collapsed="false">
      <c r="A17" s="2" t="s">
        <v>65</v>
      </c>
      <c r="B17" s="3" t="s">
        <v>46</v>
      </c>
      <c r="C17" s="3" t="s">
        <v>66</v>
      </c>
      <c r="D17" s="3" t="s">
        <v>67</v>
      </c>
      <c r="E17" s="3" t="s">
        <v>17</v>
      </c>
      <c r="F17" s="4" t="n">
        <v>4000</v>
      </c>
      <c r="G17" s="4"/>
      <c r="H17" s="4"/>
      <c r="I17" s="4"/>
      <c r="J17" s="3" t="s">
        <v>18</v>
      </c>
      <c r="K17" s="2" t="s">
        <v>19</v>
      </c>
      <c r="L17" s="3" t="s">
        <v>19</v>
      </c>
      <c r="M17" s="3"/>
    </row>
    <row r="18" customFormat="false" ht="15" hidden="false" customHeight="false" outlineLevel="0" collapsed="false">
      <c r="A18" s="2" t="s">
        <v>68</v>
      </c>
      <c r="B18" s="3" t="s">
        <v>46</v>
      </c>
      <c r="C18" s="3" t="s">
        <v>69</v>
      </c>
      <c r="D18" s="3" t="s">
        <v>67</v>
      </c>
      <c r="E18" s="3" t="s">
        <v>17</v>
      </c>
      <c r="F18" s="4" t="n">
        <v>8000</v>
      </c>
      <c r="G18" s="4"/>
      <c r="H18" s="4"/>
      <c r="I18" s="4"/>
      <c r="J18" s="3" t="s">
        <v>19</v>
      </c>
      <c r="K18" s="2" t="s">
        <v>19</v>
      </c>
      <c r="L18" s="3" t="s">
        <v>19</v>
      </c>
      <c r="M18" s="3"/>
    </row>
    <row r="19" customFormat="false" ht="15" hidden="false" customHeight="false" outlineLevel="0" collapsed="false">
      <c r="A19" s="2" t="s">
        <v>70</v>
      </c>
      <c r="B19" s="3" t="s">
        <v>46</v>
      </c>
      <c r="C19" s="3" t="s">
        <v>71</v>
      </c>
      <c r="D19" s="3" t="s">
        <v>72</v>
      </c>
      <c r="E19" s="3" t="s">
        <v>17</v>
      </c>
      <c r="F19" s="4" t="n">
        <v>50</v>
      </c>
      <c r="G19" s="4"/>
      <c r="H19" s="4"/>
      <c r="I19" s="4"/>
      <c r="J19" s="3" t="s">
        <v>18</v>
      </c>
      <c r="K19" s="2" t="s">
        <v>19</v>
      </c>
      <c r="L19" s="3" t="s">
        <v>19</v>
      </c>
      <c r="M19" s="3"/>
    </row>
    <row r="20" customFormat="false" ht="15" hidden="false" customHeight="false" outlineLevel="0" collapsed="false">
      <c r="A20" s="2" t="s">
        <v>73</v>
      </c>
      <c r="B20" s="3" t="s">
        <v>46</v>
      </c>
      <c r="C20" s="3" t="s">
        <v>74</v>
      </c>
      <c r="D20" s="3" t="s">
        <v>75</v>
      </c>
      <c r="E20" s="3" t="s">
        <v>17</v>
      </c>
      <c r="F20" s="4" t="n">
        <v>50</v>
      </c>
      <c r="G20" s="4"/>
      <c r="H20" s="4"/>
      <c r="I20" s="4"/>
      <c r="J20" s="3" t="s">
        <v>18</v>
      </c>
      <c r="K20" s="2" t="s">
        <v>18</v>
      </c>
      <c r="L20" s="3" t="s">
        <v>19</v>
      </c>
      <c r="M20" s="3"/>
    </row>
    <row r="21" customFormat="false" ht="15" hidden="false" customHeight="false" outlineLevel="0" collapsed="false">
      <c r="A21" s="2" t="s">
        <v>76</v>
      </c>
      <c r="B21" s="3" t="s">
        <v>46</v>
      </c>
      <c r="C21" s="3" t="s">
        <v>77</v>
      </c>
      <c r="D21" s="3" t="s">
        <v>78</v>
      </c>
      <c r="E21" s="3" t="s">
        <v>17</v>
      </c>
      <c r="F21" s="4" t="n">
        <v>13</v>
      </c>
      <c r="G21" s="4"/>
      <c r="H21" s="4"/>
      <c r="I21" s="4"/>
      <c r="J21" s="3" t="s">
        <v>18</v>
      </c>
      <c r="K21" s="2" t="s">
        <v>19</v>
      </c>
      <c r="L21" s="3" t="s">
        <v>19</v>
      </c>
      <c r="M21" s="3"/>
    </row>
    <row r="22" customFormat="false" ht="15" hidden="false" customHeight="false" outlineLevel="0" collapsed="false">
      <c r="A22" s="2" t="s">
        <v>79</v>
      </c>
      <c r="B22" s="3" t="s">
        <v>80</v>
      </c>
      <c r="C22" s="3" t="s">
        <v>81</v>
      </c>
      <c r="D22" s="3" t="s">
        <v>82</v>
      </c>
      <c r="E22" s="3" t="s">
        <v>23</v>
      </c>
      <c r="F22" s="4" t="n">
        <v>25</v>
      </c>
      <c r="G22" s="4" t="n">
        <v>100</v>
      </c>
      <c r="H22" s="4" t="n">
        <v>500</v>
      </c>
      <c r="I22" s="4" t="n">
        <v>1000</v>
      </c>
      <c r="J22" s="3" t="s">
        <v>18</v>
      </c>
      <c r="K22" s="2" t="s">
        <v>19</v>
      </c>
      <c r="L22" s="3" t="s">
        <v>19</v>
      </c>
      <c r="M22" s="3"/>
    </row>
    <row r="23" customFormat="false" ht="15" hidden="false" customHeight="false" outlineLevel="0" collapsed="false">
      <c r="A23" s="2" t="s">
        <v>83</v>
      </c>
      <c r="B23" s="3" t="s">
        <v>80</v>
      </c>
      <c r="C23" s="3" t="s">
        <v>84</v>
      </c>
      <c r="D23" s="3" t="s">
        <v>85</v>
      </c>
      <c r="E23" s="3" t="s">
        <v>17</v>
      </c>
      <c r="F23" s="4"/>
      <c r="G23" s="4"/>
      <c r="H23" s="4"/>
      <c r="I23" s="4"/>
      <c r="J23" s="3" t="s">
        <v>18</v>
      </c>
      <c r="K23" s="2" t="s">
        <v>19</v>
      </c>
      <c r="L23" s="3" t="s">
        <v>19</v>
      </c>
      <c r="M23" s="3"/>
    </row>
    <row r="24" customFormat="false" ht="15" hidden="false" customHeight="false" outlineLevel="0" collapsed="false">
      <c r="A24" s="2" t="s">
        <v>86</v>
      </c>
      <c r="B24" s="3" t="s">
        <v>80</v>
      </c>
      <c r="C24" s="3" t="s">
        <v>87</v>
      </c>
      <c r="D24" s="3" t="s">
        <v>88</v>
      </c>
      <c r="E24" s="3" t="s">
        <v>17</v>
      </c>
      <c r="F24" s="4"/>
      <c r="G24" s="4"/>
      <c r="H24" s="4"/>
      <c r="I24" s="4"/>
      <c r="J24" s="3" t="s">
        <v>18</v>
      </c>
      <c r="K24" s="2" t="s">
        <v>19</v>
      </c>
      <c r="L24" s="3" t="s">
        <v>19</v>
      </c>
      <c r="M24" s="3"/>
    </row>
    <row r="25" customFormat="false" ht="15" hidden="false" customHeight="false" outlineLevel="0" collapsed="false">
      <c r="A25" s="2" t="s">
        <v>89</v>
      </c>
      <c r="B25" s="3" t="s">
        <v>80</v>
      </c>
      <c r="C25" s="3" t="s">
        <v>90</v>
      </c>
      <c r="D25" s="3" t="s">
        <v>91</v>
      </c>
      <c r="E25" s="3" t="s">
        <v>17</v>
      </c>
      <c r="F25" s="4"/>
      <c r="G25" s="4"/>
      <c r="H25" s="4"/>
      <c r="I25" s="4"/>
      <c r="J25" s="3" t="s">
        <v>18</v>
      </c>
      <c r="K25" s="2" t="s">
        <v>19</v>
      </c>
      <c r="L25" s="3" t="s">
        <v>19</v>
      </c>
      <c r="M25" s="3"/>
    </row>
    <row r="26" customFormat="false" ht="15" hidden="false" customHeight="false" outlineLevel="0" collapsed="false">
      <c r="A26" s="2" t="s">
        <v>92</v>
      </c>
      <c r="B26" s="3" t="s">
        <v>80</v>
      </c>
      <c r="C26" s="3" t="s">
        <v>93</v>
      </c>
      <c r="D26" s="3" t="s">
        <v>94</v>
      </c>
      <c r="E26" s="3" t="s">
        <v>17</v>
      </c>
      <c r="F26" s="4" t="n">
        <v>50</v>
      </c>
      <c r="G26" s="4"/>
      <c r="H26" s="4"/>
      <c r="I26" s="4"/>
      <c r="J26" s="3" t="s">
        <v>18</v>
      </c>
      <c r="K26" s="2" t="s">
        <v>19</v>
      </c>
      <c r="L26" s="3" t="s">
        <v>19</v>
      </c>
      <c r="M26" s="3"/>
    </row>
    <row r="27" customFormat="false" ht="15" hidden="false" customHeight="false" outlineLevel="0" collapsed="false">
      <c r="A27" s="2" t="s">
        <v>95</v>
      </c>
      <c r="B27" s="3" t="s">
        <v>80</v>
      </c>
      <c r="C27" s="3" t="s">
        <v>96</v>
      </c>
      <c r="D27" s="3" t="s">
        <v>97</v>
      </c>
      <c r="E27" s="3" t="s">
        <v>17</v>
      </c>
      <c r="F27" s="4"/>
      <c r="G27" s="4"/>
      <c r="H27" s="4"/>
      <c r="I27" s="4"/>
      <c r="J27" s="3" t="s">
        <v>18</v>
      </c>
      <c r="K27" s="2" t="s">
        <v>18</v>
      </c>
      <c r="L27" s="3" t="s">
        <v>19</v>
      </c>
      <c r="M27" s="3"/>
    </row>
    <row r="28" customFormat="false" ht="15" hidden="false" customHeight="false" outlineLevel="0" collapsed="false">
      <c r="A28" s="2" t="s">
        <v>98</v>
      </c>
      <c r="B28" s="3" t="s">
        <v>80</v>
      </c>
      <c r="C28" s="3" t="s">
        <v>99</v>
      </c>
      <c r="D28" s="3" t="s">
        <v>100</v>
      </c>
      <c r="E28" s="3" t="s">
        <v>17</v>
      </c>
      <c r="F28" s="4" t="n">
        <v>10000000</v>
      </c>
      <c r="G28" s="4"/>
      <c r="H28" s="4"/>
      <c r="I28" s="4"/>
      <c r="J28" s="3" t="s">
        <v>18</v>
      </c>
      <c r="K28" s="2" t="s">
        <v>18</v>
      </c>
      <c r="L28" s="3" t="s">
        <v>19</v>
      </c>
      <c r="M28" s="3"/>
    </row>
    <row r="29" customFormat="false" ht="15" hidden="false" customHeight="false" outlineLevel="0" collapsed="false">
      <c r="A29" s="2" t="s">
        <v>101</v>
      </c>
      <c r="B29" s="3" t="s">
        <v>102</v>
      </c>
      <c r="C29" s="3" t="s">
        <v>103</v>
      </c>
      <c r="D29" s="3" t="s">
        <v>104</v>
      </c>
      <c r="E29" s="3" t="s">
        <v>23</v>
      </c>
      <c r="F29" s="4" t="n">
        <v>50</v>
      </c>
      <c r="G29" s="4" t="n">
        <v>250</v>
      </c>
      <c r="H29" s="4" t="n">
        <v>1000</v>
      </c>
      <c r="I29" s="4" t="n">
        <v>5000</v>
      </c>
      <c r="J29" s="3" t="s">
        <v>18</v>
      </c>
      <c r="K29" s="2" t="s">
        <v>19</v>
      </c>
      <c r="L29" s="3" t="s">
        <v>19</v>
      </c>
      <c r="M29" s="3"/>
    </row>
    <row r="30" customFormat="false" ht="15" hidden="false" customHeight="false" outlineLevel="0" collapsed="false">
      <c r="A30" s="2" t="s">
        <v>105</v>
      </c>
      <c r="B30" s="3" t="s">
        <v>102</v>
      </c>
      <c r="C30" s="3" t="s">
        <v>106</v>
      </c>
      <c r="D30" s="3" t="s">
        <v>107</v>
      </c>
      <c r="E30" s="3" t="s">
        <v>17</v>
      </c>
      <c r="F30" s="4"/>
      <c r="G30" s="4"/>
      <c r="H30" s="4"/>
      <c r="I30" s="4"/>
      <c r="J30" s="3" t="s">
        <v>18</v>
      </c>
      <c r="K30" s="2" t="s">
        <v>19</v>
      </c>
      <c r="L30" s="3" t="s">
        <v>19</v>
      </c>
      <c r="M30" s="3"/>
    </row>
    <row r="31" customFormat="false" ht="15" hidden="false" customHeight="false" outlineLevel="0" collapsed="false">
      <c r="A31" s="2" t="s">
        <v>108</v>
      </c>
      <c r="B31" s="3" t="s">
        <v>102</v>
      </c>
      <c r="C31" s="3" t="s">
        <v>109</v>
      </c>
      <c r="D31" s="3" t="s">
        <v>110</v>
      </c>
      <c r="E31" s="3" t="s">
        <v>17</v>
      </c>
      <c r="F31" s="4"/>
      <c r="G31" s="4"/>
      <c r="H31" s="4"/>
      <c r="I31" s="4"/>
      <c r="J31" s="3" t="s">
        <v>18</v>
      </c>
      <c r="K31" s="2" t="s">
        <v>19</v>
      </c>
      <c r="L31" s="3" t="s">
        <v>19</v>
      </c>
      <c r="M31" s="3"/>
    </row>
    <row r="32" customFormat="false" ht="15" hidden="false" customHeight="false" outlineLevel="0" collapsed="false">
      <c r="A32" s="2" t="s">
        <v>111</v>
      </c>
      <c r="B32" s="3" t="s">
        <v>102</v>
      </c>
      <c r="C32" s="3" t="s">
        <v>112</v>
      </c>
      <c r="D32" s="3" t="s">
        <v>113</v>
      </c>
      <c r="E32" s="3" t="s">
        <v>17</v>
      </c>
      <c r="F32" s="4"/>
      <c r="G32" s="4"/>
      <c r="H32" s="4"/>
      <c r="I32" s="4"/>
      <c r="J32" s="3" t="s">
        <v>18</v>
      </c>
      <c r="K32" s="2" t="s">
        <v>19</v>
      </c>
      <c r="L32" s="3" t="s">
        <v>19</v>
      </c>
      <c r="M32" s="3"/>
    </row>
    <row r="33" customFormat="false" ht="15" hidden="false" customHeight="false" outlineLevel="0" collapsed="false">
      <c r="A33" s="2" t="s">
        <v>114</v>
      </c>
      <c r="B33" s="3" t="s">
        <v>102</v>
      </c>
      <c r="C33" s="3" t="s">
        <v>115</v>
      </c>
      <c r="D33" s="3" t="s">
        <v>116</v>
      </c>
      <c r="E33" s="3" t="s">
        <v>17</v>
      </c>
      <c r="F33" s="4"/>
      <c r="G33" s="4"/>
      <c r="H33" s="4"/>
      <c r="I33" s="4"/>
      <c r="J33" s="3" t="s">
        <v>18</v>
      </c>
      <c r="K33" s="2" t="s">
        <v>19</v>
      </c>
      <c r="L33" s="3" t="s">
        <v>19</v>
      </c>
      <c r="M33" s="3"/>
    </row>
    <row r="34" customFormat="false" ht="15" hidden="false" customHeight="false" outlineLevel="0" collapsed="false">
      <c r="A34" s="2" t="s">
        <v>117</v>
      </c>
      <c r="B34" s="3" t="s">
        <v>102</v>
      </c>
      <c r="C34" s="3" t="s">
        <v>118</v>
      </c>
      <c r="D34" s="3" t="s">
        <v>119</v>
      </c>
      <c r="E34" s="3" t="s">
        <v>17</v>
      </c>
      <c r="F34" s="4"/>
      <c r="G34" s="4"/>
      <c r="H34" s="4"/>
      <c r="I34" s="4"/>
      <c r="J34" s="3" t="s">
        <v>18</v>
      </c>
      <c r="K34" s="2" t="s">
        <v>19</v>
      </c>
      <c r="L34" s="3" t="s">
        <v>19</v>
      </c>
      <c r="M34" s="3"/>
    </row>
    <row r="35" customFormat="false" ht="15" hidden="false" customHeight="false" outlineLevel="0" collapsed="false">
      <c r="A35" s="2" t="s">
        <v>120</v>
      </c>
      <c r="B35" s="3" t="s">
        <v>102</v>
      </c>
      <c r="C35" s="3" t="s">
        <v>121</v>
      </c>
      <c r="D35" s="3" t="s">
        <v>122</v>
      </c>
      <c r="E35" s="3" t="s">
        <v>17</v>
      </c>
      <c r="F35" s="4"/>
      <c r="G35" s="4"/>
      <c r="H35" s="4"/>
      <c r="I35" s="4"/>
      <c r="J35" s="3" t="s">
        <v>18</v>
      </c>
      <c r="K35" s="2" t="s">
        <v>19</v>
      </c>
      <c r="L35" s="3" t="s">
        <v>19</v>
      </c>
      <c r="M35" s="3"/>
    </row>
    <row r="36" customFormat="false" ht="15" hidden="false" customHeight="false" outlineLevel="0" collapsed="false">
      <c r="A36" s="2" t="s">
        <v>123</v>
      </c>
      <c r="B36" s="3" t="s">
        <v>102</v>
      </c>
      <c r="C36" s="3" t="s">
        <v>124</v>
      </c>
      <c r="D36" s="3" t="s">
        <v>125</v>
      </c>
      <c r="E36" s="3" t="s">
        <v>17</v>
      </c>
      <c r="F36" s="4"/>
      <c r="G36" s="4"/>
      <c r="H36" s="4"/>
      <c r="I36" s="4"/>
      <c r="J36" s="3" t="s">
        <v>18</v>
      </c>
      <c r="K36" s="2" t="s">
        <v>19</v>
      </c>
      <c r="L36" s="3" t="s">
        <v>19</v>
      </c>
      <c r="M36" s="3"/>
    </row>
    <row r="37" customFormat="false" ht="15" hidden="false" customHeight="false" outlineLevel="0" collapsed="false">
      <c r="A37" s="2" t="s">
        <v>126</v>
      </c>
      <c r="B37" s="3" t="s">
        <v>102</v>
      </c>
      <c r="C37" s="3" t="s">
        <v>127</v>
      </c>
      <c r="D37" s="3" t="s">
        <v>128</v>
      </c>
      <c r="E37" s="3" t="s">
        <v>17</v>
      </c>
      <c r="F37" s="4"/>
      <c r="G37" s="4"/>
      <c r="H37" s="4"/>
      <c r="I37" s="4"/>
      <c r="J37" s="3" t="s">
        <v>18</v>
      </c>
      <c r="K37" s="2" t="s">
        <v>19</v>
      </c>
      <c r="L37" s="3" t="s">
        <v>19</v>
      </c>
      <c r="M37" s="3"/>
    </row>
    <row r="38" customFormat="false" ht="15" hidden="false" customHeight="false" outlineLevel="0" collapsed="false">
      <c r="A38" s="2" t="s">
        <v>129</v>
      </c>
      <c r="B38" s="3" t="s">
        <v>102</v>
      </c>
      <c r="C38" s="3" t="s">
        <v>130</v>
      </c>
      <c r="D38" s="3" t="s">
        <v>131</v>
      </c>
      <c r="E38" s="3" t="s">
        <v>17</v>
      </c>
      <c r="F38" s="4"/>
      <c r="G38" s="4"/>
      <c r="H38" s="4"/>
      <c r="I38" s="4"/>
      <c r="J38" s="3" t="s">
        <v>18</v>
      </c>
      <c r="K38" s="2" t="s">
        <v>19</v>
      </c>
      <c r="L38" s="3" t="s">
        <v>19</v>
      </c>
      <c r="M38" s="3"/>
    </row>
    <row r="39" customFormat="false" ht="15" hidden="false" customHeight="false" outlineLevel="0" collapsed="false">
      <c r="A39" s="2" t="s">
        <v>132</v>
      </c>
      <c r="B39" s="3" t="s">
        <v>102</v>
      </c>
      <c r="C39" s="3" t="s">
        <v>133</v>
      </c>
      <c r="D39" s="3" t="s">
        <v>134</v>
      </c>
      <c r="E39" s="3" t="s">
        <v>17</v>
      </c>
      <c r="F39" s="4"/>
      <c r="G39" s="4"/>
      <c r="H39" s="4"/>
      <c r="I39" s="4"/>
      <c r="J39" s="3" t="s">
        <v>19</v>
      </c>
      <c r="K39" s="2" t="s">
        <v>18</v>
      </c>
      <c r="L39" s="3" t="s">
        <v>19</v>
      </c>
      <c r="M39" s="3"/>
    </row>
    <row r="40" customFormat="false" ht="15" hidden="false" customHeight="false" outlineLevel="0" collapsed="false">
      <c r="A40" s="2" t="s">
        <v>135</v>
      </c>
      <c r="B40" s="3" t="s">
        <v>136</v>
      </c>
      <c r="C40" s="3" t="s">
        <v>137</v>
      </c>
      <c r="D40" s="3" t="s">
        <v>138</v>
      </c>
      <c r="E40" s="3" t="s">
        <v>23</v>
      </c>
      <c r="F40" s="4" t="n">
        <v>25</v>
      </c>
      <c r="G40" s="4" t="n">
        <v>100</v>
      </c>
      <c r="H40" s="4" t="n">
        <v>500</v>
      </c>
      <c r="I40" s="4" t="n">
        <v>1000</v>
      </c>
      <c r="J40" s="3" t="s">
        <v>18</v>
      </c>
      <c r="K40" s="2" t="s">
        <v>19</v>
      </c>
      <c r="L40" s="3" t="s">
        <v>19</v>
      </c>
      <c r="M40" s="3"/>
    </row>
    <row r="41" customFormat="false" ht="15" hidden="false" customHeight="false" outlineLevel="0" collapsed="false">
      <c r="A41" s="2" t="s">
        <v>139</v>
      </c>
      <c r="B41" s="3" t="s">
        <v>136</v>
      </c>
      <c r="C41" s="3" t="s">
        <v>140</v>
      </c>
      <c r="D41" s="3" t="s">
        <v>141</v>
      </c>
      <c r="E41" s="3" t="s">
        <v>17</v>
      </c>
      <c r="F41" s="4"/>
      <c r="G41" s="4"/>
      <c r="H41" s="4"/>
      <c r="I41" s="4"/>
      <c r="J41" s="3" t="s">
        <v>18</v>
      </c>
      <c r="K41" s="2" t="s">
        <v>19</v>
      </c>
      <c r="L41" s="3" t="s">
        <v>19</v>
      </c>
      <c r="M41" s="3"/>
    </row>
    <row r="42" customFormat="false" ht="15" hidden="false" customHeight="false" outlineLevel="0" collapsed="false">
      <c r="A42" s="2" t="s">
        <v>142</v>
      </c>
      <c r="B42" s="3" t="s">
        <v>136</v>
      </c>
      <c r="C42" s="3" t="s">
        <v>143</v>
      </c>
      <c r="D42" s="3" t="s">
        <v>144</v>
      </c>
      <c r="E42" s="3" t="s">
        <v>17</v>
      </c>
      <c r="F42" s="4"/>
      <c r="G42" s="4"/>
      <c r="H42" s="4"/>
      <c r="I42" s="4"/>
      <c r="J42" s="3" t="s">
        <v>18</v>
      </c>
      <c r="K42" s="2" t="s">
        <v>19</v>
      </c>
      <c r="L42" s="3" t="s">
        <v>19</v>
      </c>
      <c r="M42" s="3"/>
    </row>
    <row r="43" customFormat="false" ht="15" hidden="false" customHeight="false" outlineLevel="0" collapsed="false">
      <c r="A43" s="2" t="s">
        <v>145</v>
      </c>
      <c r="B43" s="3" t="s">
        <v>136</v>
      </c>
      <c r="C43" s="3" t="s">
        <v>146</v>
      </c>
      <c r="D43" s="3" t="s">
        <v>147</v>
      </c>
      <c r="E43" s="3" t="s">
        <v>17</v>
      </c>
      <c r="F43" s="4"/>
      <c r="G43" s="4"/>
      <c r="H43" s="4"/>
      <c r="I43" s="4"/>
      <c r="J43" s="3" t="s">
        <v>18</v>
      </c>
      <c r="K43" s="2" t="s">
        <v>19</v>
      </c>
      <c r="L43" s="3" t="s">
        <v>19</v>
      </c>
      <c r="M43" s="3"/>
    </row>
    <row r="44" customFormat="false" ht="15" hidden="false" customHeight="false" outlineLevel="0" collapsed="false">
      <c r="A44" s="2" t="s">
        <v>148</v>
      </c>
      <c r="B44" s="3" t="s">
        <v>136</v>
      </c>
      <c r="C44" s="3" t="s">
        <v>149</v>
      </c>
      <c r="D44" s="3" t="s">
        <v>150</v>
      </c>
      <c r="E44" s="3" t="s">
        <v>17</v>
      </c>
      <c r="F44" s="4"/>
      <c r="G44" s="4"/>
      <c r="H44" s="4"/>
      <c r="I44" s="4"/>
      <c r="J44" s="3" t="s">
        <v>18</v>
      </c>
      <c r="K44" s="2" t="s">
        <v>19</v>
      </c>
      <c r="L44" s="3" t="s">
        <v>19</v>
      </c>
      <c r="M44" s="3"/>
    </row>
    <row r="45" customFormat="false" ht="15" hidden="false" customHeight="false" outlineLevel="0" collapsed="false">
      <c r="A45" s="2" t="s">
        <v>151</v>
      </c>
      <c r="B45" s="3" t="s">
        <v>136</v>
      </c>
      <c r="C45" s="3" t="s">
        <v>152</v>
      </c>
      <c r="D45" s="3" t="s">
        <v>153</v>
      </c>
      <c r="E45" s="3" t="s">
        <v>17</v>
      </c>
      <c r="F45" s="4" t="n">
        <v>25</v>
      </c>
      <c r="G45" s="4"/>
      <c r="H45" s="4"/>
      <c r="I45" s="4"/>
      <c r="J45" s="3" t="s">
        <v>18</v>
      </c>
      <c r="K45" s="2" t="s">
        <v>64</v>
      </c>
      <c r="L45" s="3" t="s">
        <v>19</v>
      </c>
      <c r="M45" s="3"/>
    </row>
    <row r="46" customFormat="false" ht="15" hidden="false" customHeight="false" outlineLevel="0" collapsed="false">
      <c r="A46" s="2" t="s">
        <v>154</v>
      </c>
      <c r="B46" s="3" t="s">
        <v>155</v>
      </c>
      <c r="C46" s="3" t="s">
        <v>156</v>
      </c>
      <c r="D46" s="3" t="s">
        <v>157</v>
      </c>
      <c r="E46" s="3" t="s">
        <v>23</v>
      </c>
      <c r="F46" s="4" t="n">
        <v>25</v>
      </c>
      <c r="G46" s="4" t="n">
        <v>100</v>
      </c>
      <c r="H46" s="4" t="n">
        <v>500</v>
      </c>
      <c r="I46" s="4" t="n">
        <v>1000</v>
      </c>
      <c r="J46" s="3" t="s">
        <v>18</v>
      </c>
      <c r="K46" s="2" t="s">
        <v>19</v>
      </c>
      <c r="L46" s="3" t="s">
        <v>19</v>
      </c>
      <c r="M46" s="3"/>
    </row>
    <row r="47" customFormat="false" ht="15" hidden="false" customHeight="false" outlineLevel="0" collapsed="false">
      <c r="A47" s="2" t="s">
        <v>158</v>
      </c>
      <c r="B47" s="3" t="s">
        <v>155</v>
      </c>
      <c r="C47" s="3" t="s">
        <v>159</v>
      </c>
      <c r="D47" s="3" t="s">
        <v>160</v>
      </c>
      <c r="E47" s="3" t="s">
        <v>17</v>
      </c>
      <c r="F47" s="4"/>
      <c r="G47" s="4"/>
      <c r="H47" s="4"/>
      <c r="I47" s="4"/>
      <c r="J47" s="3" t="s">
        <v>18</v>
      </c>
      <c r="K47" s="2" t="s">
        <v>19</v>
      </c>
      <c r="L47" s="3" t="s">
        <v>19</v>
      </c>
      <c r="M47" s="3"/>
    </row>
    <row r="48" customFormat="false" ht="15" hidden="false" customHeight="false" outlineLevel="0" collapsed="false">
      <c r="A48" s="2" t="s">
        <v>161</v>
      </c>
      <c r="B48" s="3" t="s">
        <v>155</v>
      </c>
      <c r="C48" s="3" t="s">
        <v>162</v>
      </c>
      <c r="D48" s="3" t="s">
        <v>163</v>
      </c>
      <c r="E48" s="3" t="s">
        <v>17</v>
      </c>
      <c r="F48" s="4"/>
      <c r="G48" s="4"/>
      <c r="H48" s="4"/>
      <c r="I48" s="4"/>
      <c r="J48" s="3" t="s">
        <v>18</v>
      </c>
      <c r="K48" s="2" t="s">
        <v>19</v>
      </c>
      <c r="L48" s="3" t="s">
        <v>19</v>
      </c>
      <c r="M48" s="3"/>
    </row>
    <row r="49" customFormat="false" ht="15" hidden="false" customHeight="false" outlineLevel="0" collapsed="false">
      <c r="A49" s="2" t="s">
        <v>164</v>
      </c>
      <c r="B49" s="3" t="s">
        <v>155</v>
      </c>
      <c r="C49" s="3" t="s">
        <v>165</v>
      </c>
      <c r="D49" s="3" t="s">
        <v>166</v>
      </c>
      <c r="E49" s="3" t="s">
        <v>17</v>
      </c>
      <c r="F49" s="4"/>
      <c r="G49" s="4"/>
      <c r="H49" s="4"/>
      <c r="I49" s="4"/>
      <c r="J49" s="3" t="s">
        <v>18</v>
      </c>
      <c r="K49" s="2" t="s">
        <v>19</v>
      </c>
      <c r="L49" s="3" t="s">
        <v>19</v>
      </c>
      <c r="M49" s="3"/>
    </row>
    <row r="50" customFormat="false" ht="15" hidden="false" customHeight="false" outlineLevel="0" collapsed="false">
      <c r="A50" s="2" t="s">
        <v>167</v>
      </c>
      <c r="B50" s="3" t="s">
        <v>155</v>
      </c>
      <c r="C50" s="3" t="s">
        <v>168</v>
      </c>
      <c r="D50" s="3" t="s">
        <v>169</v>
      </c>
      <c r="E50" s="3" t="s">
        <v>17</v>
      </c>
      <c r="F50" s="4"/>
      <c r="G50" s="4"/>
      <c r="H50" s="4"/>
      <c r="I50" s="4"/>
      <c r="J50" s="3" t="s">
        <v>18</v>
      </c>
      <c r="K50" s="2" t="s">
        <v>19</v>
      </c>
      <c r="L50" s="3" t="s">
        <v>19</v>
      </c>
      <c r="M50" s="3"/>
    </row>
    <row r="51" customFormat="false" ht="15" hidden="false" customHeight="false" outlineLevel="0" collapsed="false">
      <c r="A51" s="2" t="s">
        <v>170</v>
      </c>
      <c r="B51" s="3" t="s">
        <v>155</v>
      </c>
      <c r="C51" s="3" t="s">
        <v>171</v>
      </c>
      <c r="D51" s="3" t="s">
        <v>172</v>
      </c>
      <c r="E51" s="3" t="s">
        <v>17</v>
      </c>
      <c r="F51" s="4"/>
      <c r="G51" s="4"/>
      <c r="H51" s="4"/>
      <c r="I51" s="4"/>
      <c r="J51" s="3" t="s">
        <v>18</v>
      </c>
      <c r="K51" s="2" t="s">
        <v>18</v>
      </c>
      <c r="L51" s="3" t="s">
        <v>19</v>
      </c>
      <c r="M51" s="3"/>
    </row>
    <row r="52" customFormat="false" ht="15" hidden="false" customHeight="false" outlineLevel="0" collapsed="false">
      <c r="A52" s="2" t="s">
        <v>173</v>
      </c>
      <c r="B52" s="3" t="s">
        <v>155</v>
      </c>
      <c r="C52" s="3" t="s">
        <v>174</v>
      </c>
      <c r="D52" s="3" t="s">
        <v>175</v>
      </c>
      <c r="E52" s="3" t="s">
        <v>17</v>
      </c>
      <c r="F52" s="4" t="n">
        <v>100</v>
      </c>
      <c r="G52" s="4"/>
      <c r="H52" s="4"/>
      <c r="I52" s="4"/>
      <c r="J52" s="3" t="s">
        <v>18</v>
      </c>
      <c r="K52" s="2" t="s">
        <v>64</v>
      </c>
      <c r="L52" s="3" t="s">
        <v>19</v>
      </c>
      <c r="M52" s="3"/>
    </row>
    <row r="53" customFormat="false" ht="15" hidden="false" customHeight="false" outlineLevel="0" collapsed="false">
      <c r="A53" s="2" t="s">
        <v>176</v>
      </c>
      <c r="B53" s="3" t="s">
        <v>177</v>
      </c>
      <c r="C53" s="3" t="s">
        <v>178</v>
      </c>
      <c r="D53" s="3" t="s">
        <v>179</v>
      </c>
      <c r="E53" s="3" t="s">
        <v>23</v>
      </c>
      <c r="F53" s="4" t="n">
        <v>25</v>
      </c>
      <c r="G53" s="4" t="n">
        <v>100</v>
      </c>
      <c r="H53" s="4" t="n">
        <v>500</v>
      </c>
      <c r="I53" s="4"/>
      <c r="J53" s="3" t="s">
        <v>18</v>
      </c>
      <c r="K53" s="2" t="s">
        <v>19</v>
      </c>
      <c r="L53" s="3" t="s">
        <v>19</v>
      </c>
      <c r="M53" s="3"/>
    </row>
    <row r="54" customFormat="false" ht="15" hidden="false" customHeight="false" outlineLevel="0" collapsed="false">
      <c r="A54" s="2" t="s">
        <v>180</v>
      </c>
      <c r="B54" s="3" t="s">
        <v>177</v>
      </c>
      <c r="C54" s="3" t="s">
        <v>181</v>
      </c>
      <c r="D54" s="3" t="s">
        <v>182</v>
      </c>
      <c r="E54" s="3" t="s">
        <v>17</v>
      </c>
      <c r="F54" s="4"/>
      <c r="G54" s="4"/>
      <c r="H54" s="4"/>
      <c r="I54" s="4"/>
      <c r="J54" s="3" t="s">
        <v>18</v>
      </c>
      <c r="K54" s="2" t="s">
        <v>19</v>
      </c>
      <c r="L54" s="3" t="s">
        <v>19</v>
      </c>
      <c r="M54" s="3"/>
    </row>
    <row r="55" customFormat="false" ht="15" hidden="false" customHeight="false" outlineLevel="0" collapsed="false">
      <c r="A55" s="2" t="s">
        <v>183</v>
      </c>
      <c r="B55" s="3" t="s">
        <v>177</v>
      </c>
      <c r="C55" s="3" t="s">
        <v>184</v>
      </c>
      <c r="D55" s="3" t="s">
        <v>185</v>
      </c>
      <c r="E55" s="3" t="s">
        <v>17</v>
      </c>
      <c r="F55" s="4"/>
      <c r="G55" s="4"/>
      <c r="H55" s="4"/>
      <c r="I55" s="4"/>
      <c r="J55" s="3" t="s">
        <v>18</v>
      </c>
      <c r="K55" s="2" t="s">
        <v>19</v>
      </c>
      <c r="L55" s="3" t="s">
        <v>19</v>
      </c>
      <c r="M55" s="3"/>
    </row>
    <row r="56" customFormat="false" ht="15" hidden="false" customHeight="false" outlineLevel="0" collapsed="false">
      <c r="A56" s="2" t="s">
        <v>186</v>
      </c>
      <c r="B56" s="3" t="s">
        <v>177</v>
      </c>
      <c r="C56" s="3" t="s">
        <v>187</v>
      </c>
      <c r="D56" s="3" t="s">
        <v>188</v>
      </c>
      <c r="E56" s="3" t="s">
        <v>17</v>
      </c>
      <c r="F56" s="4"/>
      <c r="G56" s="4"/>
      <c r="H56" s="4"/>
      <c r="I56" s="4"/>
      <c r="J56" s="3" t="s">
        <v>18</v>
      </c>
      <c r="K56" s="2" t="s">
        <v>19</v>
      </c>
      <c r="L56" s="3" t="s">
        <v>19</v>
      </c>
      <c r="M56" s="3"/>
    </row>
    <row r="57" customFormat="false" ht="15" hidden="false" customHeight="false" outlineLevel="0" collapsed="false">
      <c r="A57" s="2" t="s">
        <v>189</v>
      </c>
      <c r="B57" s="3" t="s">
        <v>177</v>
      </c>
      <c r="C57" s="3" t="s">
        <v>190</v>
      </c>
      <c r="D57" s="3" t="s">
        <v>191</v>
      </c>
      <c r="E57" s="3" t="s">
        <v>17</v>
      </c>
      <c r="F57" s="4" t="n">
        <v>50</v>
      </c>
      <c r="G57" s="4"/>
      <c r="H57" s="4"/>
      <c r="I57" s="4"/>
      <c r="J57" s="3" t="s">
        <v>18</v>
      </c>
      <c r="K57" s="2" t="s">
        <v>19</v>
      </c>
      <c r="L57" s="3" t="s">
        <v>19</v>
      </c>
      <c r="M57" s="3"/>
    </row>
    <row r="58" customFormat="false" ht="15" hidden="false" customHeight="false" outlineLevel="0" collapsed="false">
      <c r="A58" s="2" t="s">
        <v>192</v>
      </c>
      <c r="B58" s="3" t="s">
        <v>193</v>
      </c>
      <c r="C58" s="3" t="s">
        <v>194</v>
      </c>
      <c r="D58" s="3" t="s">
        <v>195</v>
      </c>
      <c r="E58" s="3" t="s">
        <v>17</v>
      </c>
      <c r="F58" s="4"/>
      <c r="G58" s="4"/>
      <c r="H58" s="4"/>
      <c r="I58" s="4"/>
      <c r="J58" s="3" t="s">
        <v>18</v>
      </c>
      <c r="K58" s="2" t="s">
        <v>19</v>
      </c>
      <c r="L58" s="3" t="s">
        <v>19</v>
      </c>
      <c r="M58" s="3"/>
    </row>
    <row r="59" customFormat="false" ht="15" hidden="false" customHeight="false" outlineLevel="0" collapsed="false">
      <c r="A59" s="2" t="s">
        <v>196</v>
      </c>
      <c r="B59" s="3" t="s">
        <v>193</v>
      </c>
      <c r="C59" s="3" t="s">
        <v>197</v>
      </c>
      <c r="D59" s="3" t="s">
        <v>198</v>
      </c>
      <c r="E59" s="3" t="s">
        <v>17</v>
      </c>
      <c r="F59" s="4"/>
      <c r="G59" s="4"/>
      <c r="H59" s="4"/>
      <c r="I59" s="4"/>
      <c r="J59" s="3" t="s">
        <v>18</v>
      </c>
      <c r="K59" s="2" t="s">
        <v>19</v>
      </c>
      <c r="L59" s="3" t="s">
        <v>19</v>
      </c>
      <c r="M59" s="3"/>
    </row>
    <row r="60" customFormat="false" ht="15" hidden="false" customHeight="false" outlineLevel="0" collapsed="false">
      <c r="A60" s="2" t="s">
        <v>199</v>
      </c>
      <c r="B60" s="3" t="s">
        <v>193</v>
      </c>
      <c r="C60" s="3" t="s">
        <v>200</v>
      </c>
      <c r="D60" s="3" t="s">
        <v>201</v>
      </c>
      <c r="E60" s="3" t="s">
        <v>23</v>
      </c>
      <c r="F60" s="4" t="n">
        <v>1</v>
      </c>
      <c r="G60" s="4" t="n">
        <v>5</v>
      </c>
      <c r="H60" s="4" t="n">
        <v>25</v>
      </c>
      <c r="I60" s="4"/>
      <c r="J60" s="3" t="s">
        <v>18</v>
      </c>
      <c r="K60" s="2" t="s">
        <v>19</v>
      </c>
      <c r="L60" s="3" t="s">
        <v>19</v>
      </c>
      <c r="M60" s="3"/>
    </row>
    <row r="61" customFormat="false" ht="15" hidden="false" customHeight="false" outlineLevel="0" collapsed="false">
      <c r="A61" s="3"/>
      <c r="B61" s="3"/>
      <c r="C61" s="3"/>
      <c r="D61" s="3"/>
      <c r="E61" s="3"/>
      <c r="F61" s="4"/>
      <c r="G61" s="4"/>
      <c r="H61" s="4"/>
      <c r="I61" s="4"/>
      <c r="J61" s="3"/>
      <c r="K61" s="2"/>
      <c r="L61" s="3"/>
      <c r="M61" s="3"/>
    </row>
    <row r="62" customFormat="false" ht="15" hidden="false" customHeight="false" outlineLevel="0" collapsed="false">
      <c r="A62" s="3"/>
      <c r="B62" s="3"/>
      <c r="C62" s="3"/>
      <c r="D62" s="3"/>
      <c r="E62" s="3"/>
      <c r="F62" s="4"/>
      <c r="G62" s="4"/>
      <c r="H62" s="4"/>
      <c r="I62" s="4"/>
      <c r="J62" s="3"/>
      <c r="K62" s="2"/>
      <c r="L62" s="3"/>
      <c r="M62" s="3"/>
    </row>
    <row r="63" customFormat="false" ht="15" hidden="false" customHeight="false" outlineLevel="0" collapsed="false">
      <c r="A63" s="3"/>
      <c r="B63" s="3"/>
      <c r="C63" s="3"/>
      <c r="D63" s="3"/>
      <c r="E63" s="3"/>
      <c r="F63" s="4"/>
      <c r="G63" s="4"/>
      <c r="H63" s="4"/>
      <c r="I63" s="4"/>
      <c r="J63" s="3"/>
      <c r="K63" s="2"/>
      <c r="L63" s="3"/>
      <c r="M63" s="3"/>
    </row>
    <row r="64" customFormat="false" ht="15" hidden="false" customHeight="false" outlineLevel="0" collapsed="false">
      <c r="A64" s="3"/>
      <c r="B64" s="3"/>
      <c r="C64" s="3"/>
      <c r="D64" s="3"/>
      <c r="E64" s="3"/>
      <c r="F64" s="4"/>
      <c r="G64" s="4"/>
      <c r="H64" s="4"/>
      <c r="I64" s="4"/>
      <c r="J64" s="3"/>
      <c r="K64" s="2"/>
      <c r="L64" s="3"/>
      <c r="M64" s="3"/>
    </row>
    <row r="65" customFormat="false" ht="15" hidden="false" customHeight="false" outlineLevel="0" collapsed="false">
      <c r="A65" s="3"/>
      <c r="B65" s="3"/>
      <c r="C65" s="3"/>
      <c r="D65" s="3"/>
      <c r="E65" s="3"/>
      <c r="F65" s="4"/>
      <c r="G65" s="4"/>
      <c r="H65" s="4"/>
      <c r="I65" s="4"/>
      <c r="J65" s="3"/>
      <c r="K65" s="2"/>
      <c r="L65" s="3"/>
      <c r="M65" s="3"/>
    </row>
    <row r="66" customFormat="false" ht="15" hidden="false" customHeight="false" outlineLevel="0" collapsed="false">
      <c r="A66" s="3"/>
      <c r="B66" s="3"/>
      <c r="C66" s="3"/>
      <c r="D66" s="3"/>
      <c r="E66" s="3"/>
      <c r="F66" s="4"/>
      <c r="G66" s="4"/>
      <c r="H66" s="4"/>
      <c r="I66" s="4"/>
      <c r="J66" s="3"/>
      <c r="K66" s="2"/>
      <c r="L66" s="3"/>
      <c r="M66" s="3"/>
    </row>
    <row r="67" customFormat="false" ht="15" hidden="false" customHeight="false" outlineLevel="0" collapsed="false">
      <c r="A67" s="3"/>
      <c r="B67" s="3"/>
      <c r="C67" s="3"/>
      <c r="D67" s="3"/>
      <c r="E67" s="3"/>
      <c r="F67" s="4"/>
      <c r="G67" s="4"/>
      <c r="H67" s="4"/>
      <c r="I67" s="4"/>
      <c r="J67" s="3"/>
      <c r="K67" s="2"/>
      <c r="L67" s="3"/>
      <c r="M67" s="3"/>
    </row>
    <row r="68" customFormat="false" ht="15" hidden="false" customHeight="false" outlineLevel="0" collapsed="false">
      <c r="A68" s="3"/>
      <c r="B68" s="3"/>
      <c r="C68" s="3"/>
      <c r="D68" s="3"/>
      <c r="E68" s="3"/>
      <c r="F68" s="4"/>
      <c r="G68" s="4"/>
      <c r="H68" s="4"/>
      <c r="I68" s="4"/>
      <c r="J68" s="3"/>
      <c r="K68" s="2"/>
      <c r="L68" s="3"/>
      <c r="M68" s="3"/>
    </row>
    <row r="69" customFormat="false" ht="15" hidden="false" customHeight="false" outlineLevel="0" collapsed="false">
      <c r="A69" s="3"/>
      <c r="B69" s="3"/>
      <c r="C69" s="3"/>
      <c r="D69" s="3"/>
      <c r="E69" s="3"/>
      <c r="F69" s="4"/>
      <c r="G69" s="4"/>
      <c r="H69" s="4"/>
      <c r="I69" s="4"/>
      <c r="J69" s="3"/>
      <c r="K69" s="2"/>
      <c r="L69" s="3"/>
      <c r="M69" s="3"/>
    </row>
    <row r="70" customFormat="false" ht="15" hidden="false" customHeight="false" outlineLevel="0" collapsed="false">
      <c r="A70" s="3"/>
      <c r="B70" s="3"/>
      <c r="C70" s="3"/>
      <c r="D70" s="3"/>
      <c r="E70" s="3"/>
      <c r="F70" s="4"/>
      <c r="G70" s="4"/>
      <c r="H70" s="4"/>
      <c r="I70" s="4"/>
      <c r="J70" s="3"/>
      <c r="K70" s="2"/>
      <c r="L70" s="3"/>
      <c r="M70" s="3"/>
    </row>
    <row r="71" customFormat="false" ht="15" hidden="false" customHeight="false" outlineLevel="0" collapsed="false">
      <c r="A71" s="3"/>
      <c r="B71" s="3"/>
      <c r="C71" s="3"/>
      <c r="D71" s="3"/>
      <c r="E71" s="3"/>
      <c r="F71" s="4"/>
      <c r="G71" s="4"/>
      <c r="H71" s="4"/>
      <c r="I71" s="4"/>
      <c r="J71" s="3"/>
      <c r="K71" s="2"/>
      <c r="L71" s="3"/>
      <c r="M71" s="3"/>
    </row>
    <row r="72" customFormat="false" ht="15" hidden="false" customHeight="false" outlineLevel="0" collapsed="false">
      <c r="A72" s="3"/>
      <c r="B72" s="3"/>
      <c r="C72" s="3"/>
      <c r="D72" s="3"/>
      <c r="E72" s="3"/>
      <c r="F72" s="4"/>
      <c r="G72" s="4"/>
      <c r="H72" s="4"/>
      <c r="I72" s="4"/>
      <c r="J72" s="3"/>
      <c r="K72" s="2"/>
      <c r="L72" s="3"/>
      <c r="M72" s="3"/>
    </row>
    <row r="73" customFormat="false" ht="15" hidden="false" customHeight="false" outlineLevel="0" collapsed="false">
      <c r="A73" s="3"/>
      <c r="B73" s="3"/>
      <c r="C73" s="3"/>
      <c r="D73" s="3"/>
      <c r="E73" s="3"/>
      <c r="F73" s="4"/>
      <c r="G73" s="4"/>
      <c r="H73" s="4"/>
      <c r="I73" s="4"/>
      <c r="J73" s="3"/>
      <c r="K73" s="2"/>
      <c r="L73" s="3"/>
      <c r="M73" s="3"/>
    </row>
    <row r="74" customFormat="false" ht="15" hidden="false" customHeight="false" outlineLevel="0" collapsed="false">
      <c r="A74" s="3"/>
      <c r="B74" s="3"/>
      <c r="C74" s="3"/>
      <c r="D74" s="3"/>
      <c r="E74" s="3"/>
      <c r="F74" s="4"/>
      <c r="G74" s="4"/>
      <c r="H74" s="4"/>
      <c r="I74" s="4"/>
      <c r="J74" s="3"/>
      <c r="K74" s="2"/>
      <c r="L74" s="3"/>
      <c r="M74" s="3"/>
    </row>
    <row r="75" customFormat="false" ht="15" hidden="false" customHeight="false" outlineLevel="0" collapsed="false">
      <c r="A75" s="3"/>
      <c r="B75" s="3"/>
      <c r="C75" s="3"/>
      <c r="D75" s="3"/>
      <c r="E75" s="3"/>
      <c r="F75" s="4"/>
      <c r="G75" s="4"/>
      <c r="H75" s="4"/>
      <c r="I75" s="4"/>
      <c r="J75" s="3"/>
      <c r="K75" s="2"/>
      <c r="L75" s="3"/>
      <c r="M75" s="3"/>
    </row>
    <row r="76" customFormat="false" ht="15" hidden="false" customHeight="false" outlineLevel="0" collapsed="false">
      <c r="A76" s="3"/>
      <c r="B76" s="3"/>
      <c r="C76" s="3"/>
      <c r="D76" s="3"/>
      <c r="E76" s="3"/>
      <c r="F76" s="4"/>
      <c r="G76" s="4"/>
      <c r="H76" s="4"/>
      <c r="I76" s="4"/>
      <c r="J76" s="3"/>
      <c r="K76" s="2"/>
      <c r="L76" s="3"/>
      <c r="M76" s="3"/>
    </row>
    <row r="77" customFormat="false" ht="15" hidden="false" customHeight="false" outlineLevel="0" collapsed="false">
      <c r="A77" s="3"/>
      <c r="B77" s="3"/>
      <c r="C77" s="3"/>
      <c r="D77" s="3"/>
      <c r="E77" s="3"/>
      <c r="F77" s="4"/>
      <c r="G77" s="4"/>
      <c r="H77" s="4"/>
      <c r="I77" s="4"/>
      <c r="J77" s="3"/>
      <c r="K77" s="2"/>
      <c r="L77" s="3"/>
      <c r="M77" s="3"/>
    </row>
    <row r="78" customFormat="false" ht="15" hidden="false" customHeight="false" outlineLevel="0" collapsed="false">
      <c r="A78" s="3"/>
      <c r="B78" s="3"/>
      <c r="C78" s="3"/>
      <c r="D78" s="3"/>
      <c r="E78" s="3"/>
      <c r="F78" s="4"/>
      <c r="G78" s="4"/>
      <c r="H78" s="4"/>
      <c r="I78" s="4"/>
      <c r="J78" s="3"/>
      <c r="K78" s="2"/>
      <c r="L78" s="3"/>
      <c r="M78" s="3"/>
    </row>
    <row r="79" customFormat="false" ht="15" hidden="false" customHeight="false" outlineLevel="0" collapsed="false">
      <c r="A79" s="3"/>
      <c r="B79" s="3"/>
      <c r="C79" s="3"/>
      <c r="D79" s="3"/>
      <c r="E79" s="3"/>
      <c r="F79" s="4"/>
      <c r="G79" s="4"/>
      <c r="H79" s="4"/>
      <c r="I79" s="4"/>
      <c r="J79" s="3"/>
      <c r="K79" s="2"/>
      <c r="L79" s="3"/>
      <c r="M79" s="3"/>
    </row>
    <row r="80" customFormat="false" ht="15" hidden="false" customHeight="false" outlineLevel="0" collapsed="false">
      <c r="A80" s="3"/>
      <c r="B80" s="3"/>
      <c r="C80" s="3"/>
      <c r="D80" s="3"/>
      <c r="E80" s="3"/>
      <c r="F80" s="4"/>
      <c r="G80" s="4"/>
      <c r="H80" s="4"/>
      <c r="I80" s="4"/>
      <c r="J80" s="3"/>
      <c r="K80" s="2"/>
      <c r="L80" s="3"/>
      <c r="M80" s="3"/>
    </row>
    <row r="81" customFormat="false" ht="15" hidden="false" customHeight="false" outlineLevel="0" collapsed="false">
      <c r="A81" s="3"/>
      <c r="B81" s="3"/>
      <c r="C81" s="3"/>
      <c r="D81" s="3"/>
      <c r="E81" s="3"/>
      <c r="F81" s="4"/>
      <c r="G81" s="4"/>
      <c r="H81" s="4"/>
      <c r="I81" s="4"/>
      <c r="J81" s="3"/>
      <c r="K81" s="2"/>
      <c r="L81" s="3"/>
      <c r="M81" s="3"/>
    </row>
    <row r="82" customFormat="false" ht="15" hidden="false" customHeight="false" outlineLevel="0" collapsed="false">
      <c r="A82" s="3"/>
      <c r="B82" s="3"/>
      <c r="C82" s="3"/>
      <c r="D82" s="3"/>
      <c r="E82" s="3"/>
      <c r="F82" s="4"/>
      <c r="G82" s="4"/>
      <c r="H82" s="4"/>
      <c r="I82" s="4"/>
      <c r="J82" s="3"/>
      <c r="K82" s="2"/>
      <c r="L82" s="3"/>
      <c r="M82" s="3"/>
    </row>
    <row r="83" customFormat="false" ht="15" hidden="false" customHeight="false" outlineLevel="0" collapsed="false">
      <c r="A83" s="3"/>
      <c r="B83" s="3"/>
      <c r="C83" s="3"/>
      <c r="D83" s="3"/>
      <c r="E83" s="3"/>
      <c r="F83" s="4"/>
      <c r="G83" s="4"/>
      <c r="H83" s="4"/>
      <c r="I83" s="4"/>
      <c r="J83" s="3"/>
      <c r="K83" s="2"/>
      <c r="L83" s="3"/>
      <c r="M83" s="3"/>
    </row>
    <row r="84" customFormat="false" ht="15" hidden="false" customHeight="false" outlineLevel="0" collapsed="false">
      <c r="A84" s="3"/>
      <c r="B84" s="3"/>
      <c r="C84" s="3"/>
      <c r="D84" s="3"/>
      <c r="E84" s="3"/>
      <c r="F84" s="4"/>
      <c r="G84" s="4"/>
      <c r="H84" s="4"/>
      <c r="I84" s="4"/>
      <c r="J84" s="3"/>
      <c r="K84" s="2"/>
      <c r="L84" s="3"/>
      <c r="M84" s="3"/>
    </row>
    <row r="85" customFormat="false" ht="15" hidden="false" customHeight="false" outlineLevel="0" collapsed="false">
      <c r="A85" s="3"/>
      <c r="B85" s="3"/>
      <c r="C85" s="3"/>
      <c r="D85" s="3"/>
      <c r="E85" s="3"/>
      <c r="F85" s="4"/>
      <c r="G85" s="4"/>
      <c r="H85" s="4"/>
      <c r="I85" s="4"/>
      <c r="J85" s="3"/>
      <c r="K85" s="2"/>
      <c r="L85" s="3"/>
      <c r="M85" s="3"/>
    </row>
    <row r="86" customFormat="false" ht="15" hidden="false" customHeight="false" outlineLevel="0" collapsed="false">
      <c r="A86" s="3"/>
      <c r="B86" s="3"/>
      <c r="C86" s="3"/>
      <c r="D86" s="3"/>
      <c r="E86" s="3"/>
      <c r="F86" s="4"/>
      <c r="G86" s="4"/>
      <c r="H86" s="4"/>
      <c r="I86" s="4"/>
      <c r="J86" s="3"/>
      <c r="K86" s="2"/>
      <c r="L86" s="3"/>
      <c r="M86" s="3"/>
    </row>
    <row r="87" customFormat="false" ht="15" hidden="false" customHeight="false" outlineLevel="0" collapsed="false">
      <c r="A87" s="3"/>
      <c r="B87" s="3"/>
      <c r="C87" s="3"/>
      <c r="D87" s="3"/>
      <c r="E87" s="3"/>
      <c r="F87" s="4"/>
      <c r="G87" s="4"/>
      <c r="H87" s="4"/>
      <c r="I87" s="4"/>
      <c r="J87" s="3"/>
      <c r="K87" s="2"/>
      <c r="L87" s="3"/>
      <c r="M87" s="3"/>
    </row>
    <row r="88" customFormat="false" ht="15" hidden="false" customHeight="false" outlineLevel="0" collapsed="false">
      <c r="A88" s="3"/>
      <c r="B88" s="3"/>
      <c r="C88" s="3"/>
      <c r="D88" s="3"/>
      <c r="E88" s="3"/>
      <c r="F88" s="4"/>
      <c r="G88" s="4"/>
      <c r="H88" s="4"/>
      <c r="I88" s="4"/>
      <c r="J88" s="3"/>
      <c r="K88" s="2"/>
      <c r="L88" s="3"/>
      <c r="M88" s="3"/>
    </row>
    <row r="89" customFormat="false" ht="15" hidden="false" customHeight="false" outlineLevel="0" collapsed="false">
      <c r="A89" s="3"/>
      <c r="B89" s="3"/>
      <c r="C89" s="3"/>
      <c r="D89" s="3"/>
      <c r="E89" s="3"/>
      <c r="F89" s="4"/>
      <c r="G89" s="4"/>
      <c r="H89" s="4"/>
      <c r="I89" s="4"/>
      <c r="J89" s="3"/>
      <c r="K89" s="2"/>
      <c r="L89" s="3"/>
      <c r="M89" s="3"/>
    </row>
    <row r="90" customFormat="false" ht="15" hidden="false" customHeight="false" outlineLevel="0" collapsed="false">
      <c r="A90" s="3"/>
      <c r="B90" s="3"/>
      <c r="C90" s="3"/>
      <c r="D90" s="3"/>
      <c r="E90" s="3"/>
      <c r="F90" s="4"/>
      <c r="G90" s="4"/>
      <c r="H90" s="4"/>
      <c r="I90" s="4"/>
      <c r="J90" s="3"/>
      <c r="K90" s="2"/>
      <c r="L90" s="3"/>
      <c r="M90" s="3"/>
    </row>
  </sheetData>
  <autoFilter ref="A1:M90"/>
  <conditionalFormatting sqref="A2:M90">
    <cfRule type="expression" priority="2" aboveAverage="0" equalAverage="0" bottom="0" percent="0" rank="0" text="" dxfId="4">
      <formula>$L2="No"</formula>
    </cfRule>
  </conditionalFormatting>
  <dataValidations count="4">
    <dataValidation allowBlank="true" errorStyle="stop" operator="between" showDropDown="false" showErrorMessage="false" showInputMessage="false" sqref="J2:J90 L2:L90" type="list">
      <formula1>"Yes,No"</formula1>
      <formula2>0</formula2>
    </dataValidation>
    <dataValidation allowBlank="true" errorStyle="stop" operator="between" showDropDown="false" showErrorMessage="false" showInputMessage="false" sqref="E2:E90" type="list">
      <formula1>"Single,Tiered"</formula1>
      <formula2>0</formula2>
    </dataValidation>
    <dataValidation allowBlank="true" errorStyle="stop" operator="between" showDropDown="false" showErrorMessage="false" showInputMessage="false" sqref="B2:B90" type="list">
      <formula1>Chapters!$A$2:$A$10</formula1>
      <formula2>0</formula2>
    </dataValidation>
    <dataValidation allowBlank="true" errorStyle="stop" operator="between" showDropDown="false" showErrorMessage="false" showInputMessage="false" sqref="K2:K90" type="list">
      <formula1>"Yes,Partly,No"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5" t="s">
        <v>202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203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204</v>
      </c>
    </row>
    <row r="6" customFormat="false" ht="15" hidden="false" customHeight="false" outlineLevel="0" collapsed="false">
      <c r="A6" s="6" t="s">
        <v>205</v>
      </c>
    </row>
    <row r="7" customFormat="false" ht="15" hidden="false" customHeight="false" outlineLevel="0" collapsed="false">
      <c r="A7" s="6" t="s">
        <v>206</v>
      </c>
    </row>
    <row r="8" customFormat="false" ht="15" hidden="false" customHeight="false" outlineLevel="0" collapsed="false">
      <c r="A8" s="6" t="s">
        <v>207</v>
      </c>
    </row>
    <row r="9" customFormat="false" ht="15" hidden="false" customHeight="false" outlineLevel="0" collapsed="false">
      <c r="A9" s="6" t="s">
        <v>208</v>
      </c>
    </row>
    <row r="10" customFormat="false" ht="15" hidden="false" customHeight="false" outlineLevel="0" collapsed="false">
      <c r="A10" s="6" t="s">
        <v>209</v>
      </c>
    </row>
    <row r="11" customFormat="false" ht="15" hidden="false" customHeight="false" outlineLevel="0" collapsed="false">
      <c r="A11" s="6" t="s">
        <v>210</v>
      </c>
    </row>
    <row r="12" customFormat="false" ht="15" hidden="false" customHeight="false" outlineLevel="0" collapsed="false">
      <c r="A12" s="6" t="s">
        <v>211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7" t="s">
        <v>212</v>
      </c>
    </row>
    <row r="15" customFormat="false" ht="15" hidden="false" customHeight="false" outlineLevel="0" collapsed="false">
      <c r="A15" s="6" t="s">
        <v>213</v>
      </c>
    </row>
    <row r="16" customFormat="false" ht="15" hidden="false" customHeight="false" outlineLevel="0" collapsed="false">
      <c r="A16" s="6" t="s">
        <v>214</v>
      </c>
    </row>
    <row r="17" customFormat="false" ht="15" hidden="false" customHeight="false" outlineLevel="0" collapsed="false">
      <c r="A17" s="6"/>
    </row>
    <row r="18" customFormat="false" ht="15" hidden="false" customHeight="false" outlineLevel="0" collapsed="false">
      <c r="A18" s="6" t="s">
        <v>215</v>
      </c>
    </row>
    <row r="19" customFormat="false" ht="15" hidden="false" customHeight="false" outlineLevel="0" collapsed="false">
      <c r="A19" s="6" t="s">
        <v>216</v>
      </c>
    </row>
    <row r="20" customFormat="false" ht="15" hidden="false" customHeight="false" outlineLevel="0" collapsed="false">
      <c r="A20" s="6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8"/>
  </cols>
  <sheetData>
    <row r="1" customFormat="false" ht="15" hidden="false" customHeight="false" outlineLevel="0" collapsed="false">
      <c r="A1" s="8" t="s">
        <v>1</v>
      </c>
      <c r="B1" s="8" t="s">
        <v>218</v>
      </c>
      <c r="C1" s="8" t="s">
        <v>219</v>
      </c>
      <c r="D1" s="8" t="s">
        <v>220</v>
      </c>
      <c r="E1" s="8" t="s">
        <v>221</v>
      </c>
      <c r="F1" s="8" t="s">
        <v>222</v>
      </c>
      <c r="G1" s="8" t="s">
        <v>223</v>
      </c>
    </row>
    <row r="2" customFormat="false" ht="15" hidden="false" customHeight="false" outlineLevel="0" collapsed="false">
      <c r="A2" s="9" t="s">
        <v>14</v>
      </c>
      <c r="B2" s="10" t="s">
        <v>224</v>
      </c>
      <c r="C2" s="10" t="s">
        <v>225</v>
      </c>
      <c r="D2" s="9" t="n">
        <f aca="false">COUNTIFS(Stamps!$B:$B,$A2,Stamps!$L:$L,"Yes")</f>
        <v>9</v>
      </c>
      <c r="E2" s="9" t="n">
        <f aca="false">COUNTIFS(Stamps!$B:$B,$A2,Stamps!$L:$L,"Yes",Stamps!$J:$J,"Yes")</f>
        <v>2</v>
      </c>
      <c r="F2" s="9" t="n">
        <f aca="false">COUNTIFS(Stamps!$B:$B,$A2,Stamps!$L:$L,"Yes",Stamps!$E:$E,"Tiered")</f>
        <v>2</v>
      </c>
      <c r="G2" s="9" t="n">
        <f aca="false">COUNTIFS(Stamps!$B:$B,$A2,Stamps!$L:$L,"No")</f>
        <v>0</v>
      </c>
    </row>
    <row r="3" customFormat="false" ht="15" hidden="false" customHeight="false" outlineLevel="0" collapsed="false">
      <c r="A3" s="9" t="s">
        <v>46</v>
      </c>
      <c r="B3" s="10" t="s">
        <v>226</v>
      </c>
      <c r="C3" s="10" t="s">
        <v>227</v>
      </c>
      <c r="D3" s="9" t="n">
        <f aca="false">COUNTIFS(Stamps!$B:$B,$A3,Stamps!$L:$L,"Yes")</f>
        <v>11</v>
      </c>
      <c r="E3" s="9" t="n">
        <f aca="false">COUNTIFS(Stamps!$B:$B,$A3,Stamps!$L:$L,"Yes",Stamps!$J:$J,"Yes")</f>
        <v>1</v>
      </c>
      <c r="F3" s="9" t="n">
        <f aca="false">COUNTIFS(Stamps!$B:$B,$A3,Stamps!$L:$L,"Yes",Stamps!$E:$E,"Tiered")</f>
        <v>1</v>
      </c>
      <c r="G3" s="9" t="n">
        <f aca="false">COUNTIFS(Stamps!$B:$B,$A3,Stamps!$L:$L,"No")</f>
        <v>0</v>
      </c>
    </row>
    <row r="4" customFormat="false" ht="15" hidden="false" customHeight="false" outlineLevel="0" collapsed="false">
      <c r="A4" s="9" t="s">
        <v>80</v>
      </c>
      <c r="B4" s="10" t="s">
        <v>228</v>
      </c>
      <c r="C4" s="10" t="s">
        <v>229</v>
      </c>
      <c r="D4" s="9" t="n">
        <f aca="false">COUNTIFS(Stamps!$B:$B,$A4,Stamps!$L:$L,"Yes")</f>
        <v>7</v>
      </c>
      <c r="E4" s="9" t="n">
        <f aca="false">COUNTIFS(Stamps!$B:$B,$A4,Stamps!$L:$L,"Yes",Stamps!$J:$J,"Yes")</f>
        <v>0</v>
      </c>
      <c r="F4" s="9" t="n">
        <f aca="false">COUNTIFS(Stamps!$B:$B,$A4,Stamps!$L:$L,"Yes",Stamps!$E:$E,"Tiered")</f>
        <v>1</v>
      </c>
      <c r="G4" s="9" t="n">
        <f aca="false">COUNTIFS(Stamps!$B:$B,$A4,Stamps!$L:$L,"No")</f>
        <v>0</v>
      </c>
    </row>
    <row r="5" customFormat="false" ht="15" hidden="false" customHeight="false" outlineLevel="0" collapsed="false">
      <c r="A5" s="9" t="s">
        <v>102</v>
      </c>
      <c r="B5" s="10" t="s">
        <v>230</v>
      </c>
      <c r="C5" s="10" t="s">
        <v>231</v>
      </c>
      <c r="D5" s="9" t="n">
        <f aca="false">COUNTIFS(Stamps!$B:$B,$A5,Stamps!$L:$L,"Yes")</f>
        <v>11</v>
      </c>
      <c r="E5" s="9" t="n">
        <f aca="false">COUNTIFS(Stamps!$B:$B,$A5,Stamps!$L:$L,"Yes",Stamps!$J:$J,"Yes")</f>
        <v>1</v>
      </c>
      <c r="F5" s="9" t="n">
        <f aca="false">COUNTIFS(Stamps!$B:$B,$A5,Stamps!$L:$L,"Yes",Stamps!$E:$E,"Tiered")</f>
        <v>1</v>
      </c>
      <c r="G5" s="9" t="n">
        <f aca="false">COUNTIFS(Stamps!$B:$B,$A5,Stamps!$L:$L,"No")</f>
        <v>0</v>
      </c>
    </row>
    <row r="6" customFormat="false" ht="15" hidden="false" customHeight="false" outlineLevel="0" collapsed="false">
      <c r="A6" s="9" t="s">
        <v>136</v>
      </c>
      <c r="B6" s="10" t="s">
        <v>232</v>
      </c>
      <c r="C6" s="10" t="s">
        <v>233</v>
      </c>
      <c r="D6" s="9" t="n">
        <f aca="false">COUNTIFS(Stamps!$B:$B,$A6,Stamps!$L:$L,"Yes")</f>
        <v>6</v>
      </c>
      <c r="E6" s="9" t="n">
        <f aca="false">COUNTIFS(Stamps!$B:$B,$A6,Stamps!$L:$L,"Yes",Stamps!$J:$J,"Yes")</f>
        <v>0</v>
      </c>
      <c r="F6" s="9" t="n">
        <f aca="false">COUNTIFS(Stamps!$B:$B,$A6,Stamps!$L:$L,"Yes",Stamps!$E:$E,"Tiered")</f>
        <v>1</v>
      </c>
      <c r="G6" s="9" t="n">
        <f aca="false">COUNTIFS(Stamps!$B:$B,$A6,Stamps!$L:$L,"No")</f>
        <v>0</v>
      </c>
    </row>
    <row r="7" customFormat="false" ht="15" hidden="false" customHeight="false" outlineLevel="0" collapsed="false">
      <c r="A7" s="9" t="s">
        <v>155</v>
      </c>
      <c r="B7" s="10" t="s">
        <v>234</v>
      </c>
      <c r="C7" s="10" t="s">
        <v>235</v>
      </c>
      <c r="D7" s="9" t="n">
        <f aca="false">COUNTIFS(Stamps!$B:$B,$A7,Stamps!$L:$L,"Yes")</f>
        <v>7</v>
      </c>
      <c r="E7" s="9" t="n">
        <f aca="false">COUNTIFS(Stamps!$B:$B,$A7,Stamps!$L:$L,"Yes",Stamps!$J:$J,"Yes")</f>
        <v>0</v>
      </c>
      <c r="F7" s="9" t="n">
        <f aca="false">COUNTIFS(Stamps!$B:$B,$A7,Stamps!$L:$L,"Yes",Stamps!$E:$E,"Tiered")</f>
        <v>1</v>
      </c>
      <c r="G7" s="9" t="n">
        <f aca="false">COUNTIFS(Stamps!$B:$B,$A7,Stamps!$L:$L,"No")</f>
        <v>0</v>
      </c>
    </row>
    <row r="8" customFormat="false" ht="15" hidden="false" customHeight="false" outlineLevel="0" collapsed="false">
      <c r="A8" s="9" t="s">
        <v>177</v>
      </c>
      <c r="B8" s="10" t="s">
        <v>236</v>
      </c>
      <c r="C8" s="10" t="s">
        <v>237</v>
      </c>
      <c r="D8" s="9" t="n">
        <f aca="false">COUNTIFS(Stamps!$B:$B,$A8,Stamps!$L:$L,"Yes")</f>
        <v>5</v>
      </c>
      <c r="E8" s="9" t="n">
        <f aca="false">COUNTIFS(Stamps!$B:$B,$A8,Stamps!$L:$L,"Yes",Stamps!$J:$J,"Yes")</f>
        <v>0</v>
      </c>
      <c r="F8" s="9" t="n">
        <f aca="false">COUNTIFS(Stamps!$B:$B,$A8,Stamps!$L:$L,"Yes",Stamps!$E:$E,"Tiered")</f>
        <v>1</v>
      </c>
      <c r="G8" s="9" t="n">
        <f aca="false">COUNTIFS(Stamps!$B:$B,$A8,Stamps!$L:$L,"No")</f>
        <v>0</v>
      </c>
    </row>
    <row r="9" customFormat="false" ht="15" hidden="false" customHeight="false" outlineLevel="0" collapsed="false">
      <c r="A9" s="9" t="s">
        <v>193</v>
      </c>
      <c r="B9" s="10" t="s">
        <v>238</v>
      </c>
      <c r="C9" s="10" t="s">
        <v>239</v>
      </c>
      <c r="D9" s="9" t="n">
        <f aca="false">COUNTIFS(Stamps!$B:$B,$A9,Stamps!$L:$L,"Yes")</f>
        <v>3</v>
      </c>
      <c r="E9" s="9" t="n">
        <f aca="false">COUNTIFS(Stamps!$B:$B,$A9,Stamps!$L:$L,"Yes",Stamps!$J:$J,"Yes")</f>
        <v>0</v>
      </c>
      <c r="F9" s="9" t="n">
        <f aca="false">COUNTIFS(Stamps!$B:$B,$A9,Stamps!$L:$L,"Yes",Stamps!$E:$E,"Tiered")</f>
        <v>1</v>
      </c>
      <c r="G9" s="9" t="n">
        <f aca="false">COUNTIFS(Stamps!$B:$B,$A9,Stamps!$L:$L,"No")</f>
        <v>0</v>
      </c>
    </row>
    <row r="10" customFormat="false" ht="15" hidden="false" customHeight="false" outlineLevel="0" collapsed="false">
      <c r="A10" s="9" t="s">
        <v>240</v>
      </c>
      <c r="B10" s="10" t="s">
        <v>241</v>
      </c>
      <c r="C10" s="10" t="s">
        <v>242</v>
      </c>
      <c r="D10" s="9" t="n">
        <f aca="false">COUNTIFS(Stamps!$B:$B,$A10,Stamps!$L:$L,"Yes")</f>
        <v>0</v>
      </c>
      <c r="E10" s="9" t="n">
        <f aca="false">COUNTIFS(Stamps!$B:$B,$A10,Stamps!$L:$L,"Yes",Stamps!$J:$J,"Yes")</f>
        <v>0</v>
      </c>
      <c r="F10" s="9" t="n">
        <f aca="false">COUNTIFS(Stamps!$B:$B,$A10,Stamps!$L:$L,"Yes",Stamps!$E:$E,"Tiered")</f>
        <v>0</v>
      </c>
      <c r="G10" s="9" t="n">
        <f aca="false">COUNTIFS(Stamps!$B:$B,$A10,Stamps!$L:$L,"No")</f>
        <v>0</v>
      </c>
    </row>
    <row r="11" customFormat="false" ht="15" hidden="false" customHeight="false" outlineLevel="0" collapsed="false">
      <c r="A11" s="11" t="s">
        <v>243</v>
      </c>
      <c r="B11" s="11"/>
      <c r="C11" s="11"/>
      <c r="D11" s="11" t="n">
        <f aca="false">SUM(D2:D10)</f>
        <v>59</v>
      </c>
      <c r="E11" s="11" t="n">
        <f aca="false">SUM(E2:E10)</f>
        <v>4</v>
      </c>
      <c r="F11" s="11" t="n">
        <f aca="false">SUM(F2:F10)</f>
        <v>9</v>
      </c>
      <c r="G11" s="11" t="n">
        <f aca="false">SUM(G2:G10)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8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8" t="s">
        <v>244</v>
      </c>
      <c r="B1" s="8" t="s">
        <v>245</v>
      </c>
      <c r="C1" s="8" t="s">
        <v>246</v>
      </c>
    </row>
    <row r="2" customFormat="false" ht="15" hidden="false" customHeight="false" outlineLevel="0" collapsed="false">
      <c r="A2" s="2" t="s">
        <v>247</v>
      </c>
      <c r="B2" s="2" t="s">
        <v>248</v>
      </c>
      <c r="C2" s="3"/>
    </row>
    <row r="3" customFormat="false" ht="15" hidden="false" customHeight="false" outlineLevel="0" collapsed="false">
      <c r="A3" s="2" t="s">
        <v>249</v>
      </c>
      <c r="B3" s="2" t="s">
        <v>250</v>
      </c>
      <c r="C3" s="3"/>
    </row>
    <row r="4" customFormat="false" ht="15" hidden="false" customHeight="false" outlineLevel="0" collapsed="false">
      <c r="A4" s="2" t="s">
        <v>251</v>
      </c>
      <c r="B4" s="2" t="s">
        <v>252</v>
      </c>
      <c r="C4" s="3"/>
    </row>
    <row r="5" customFormat="false" ht="15" hidden="false" customHeight="false" outlineLevel="0" collapsed="false">
      <c r="A5" s="2" t="s">
        <v>253</v>
      </c>
      <c r="B5" s="2" t="s">
        <v>254</v>
      </c>
      <c r="C5" s="3"/>
    </row>
    <row r="6" customFormat="false" ht="15" hidden="false" customHeight="false" outlineLevel="0" collapsed="false">
      <c r="A6" s="2" t="s">
        <v>255</v>
      </c>
      <c r="B6" s="2" t="s">
        <v>256</v>
      </c>
      <c r="C6" s="3"/>
    </row>
    <row r="7" customFormat="false" ht="26.85" hidden="false" customHeight="false" outlineLevel="0" collapsed="false">
      <c r="A7" s="2" t="s">
        <v>257</v>
      </c>
      <c r="B7" s="2" t="s">
        <v>258</v>
      </c>
      <c r="C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2026-10-16T07:05:28Z</dcterms:created>
  <dc:creator>openpyxl</dc:creator>
  <dc:description/>
  <dc:language>en-US</dc:language>
  <cp:lastModifiedBy/>
  <dcterms:modified xsi:type="dcterms:W3CDTF">2026-10-16T07:05:28Z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